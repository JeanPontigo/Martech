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ames\Desktop\"/>
    </mc:Choice>
  </mc:AlternateContent>
  <xr:revisionPtr revIDLastSave="0" documentId="13_ncr:1_{D524D2C9-369D-4090-B1F7-FC22D649809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pri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1" l="1"/>
  <c r="G26" i="1"/>
  <c r="G12" i="1"/>
</calcChain>
</file>

<file path=xl/sharedStrings.xml><?xml version="1.0" encoding="utf-8"?>
<sst xmlns="http://schemas.openxmlformats.org/spreadsheetml/2006/main" count="198" uniqueCount="107">
  <si>
    <t>ID Tarea</t>
  </si>
  <si>
    <t>Backlog ID</t>
  </si>
  <si>
    <t>Historia de Usuario</t>
  </si>
  <si>
    <t>Tarea Técnica / Descripción</t>
  </si>
  <si>
    <t>Rol Asignado</t>
  </si>
  <si>
    <t>Est. HH (hrs)</t>
  </si>
  <si>
    <t>Estado</t>
  </si>
  <si>
    <t>T01-1</t>
  </si>
  <si>
    <t>PB01</t>
  </si>
  <si>
    <t>HU-06</t>
  </si>
  <si>
    <t>Crear y configurar cuentas de servicio saccount en GCP IAM aplicando mínimo privilegio.</t>
  </si>
  <si>
    <t>Cloud Engineer</t>
  </si>
  <si>
    <t>Terminado</t>
  </si>
  <si>
    <t>T01-2</t>
  </si>
  <si>
    <t>Configurar políticas de tokens, expiración de claves y auditoría de accesos denegados.</t>
  </si>
  <si>
    <t>Security Admin</t>
  </si>
  <si>
    <t>T02-1</t>
  </si>
  <si>
    <t>PB02</t>
  </si>
  <si>
    <t>HU-04</t>
  </si>
  <si>
    <t>Definir e implementar políticas de Row Level Security (RLS) por tenant_id en tablas BigQuery.</t>
  </si>
  <si>
    <t>Data Engineer</t>
  </si>
  <si>
    <t>T02-2</t>
  </si>
  <si>
    <t>Ejecutar pruebas de aislamiento de datos y simulación de accesos no autorizados entre tenants.</t>
  </si>
  <si>
    <t>QA / Security</t>
  </si>
  <si>
    <t>T03-1</t>
  </si>
  <si>
    <t>PB03</t>
  </si>
  <si>
    <t>HU-05</t>
  </si>
  <si>
    <t>Crear Policy Tags de Dynamic Data Masking (DDM) para enmascarar RUT, email y teléfono.</t>
  </si>
  <si>
    <t>T03-2</t>
  </si>
  <si>
    <t>Asignar rol Masked Reader y validar des-enmascaramiento seguro en logs de auditoría.</t>
  </si>
  <si>
    <t>T04-1</t>
  </si>
  <si>
    <t>PB04</t>
  </si>
  <si>
    <t>HU-07</t>
  </si>
  <si>
    <t>Desarrollar script Python en Cloud Run Job para extracción incremental desde API Magento.</t>
  </si>
  <si>
    <t>T04-2</t>
  </si>
  <si>
    <t>Crear tabla pipeline_state para control de marcas de agua, reintentos e idempotencia.</t>
  </si>
  <si>
    <t>Total hh</t>
  </si>
  <si>
    <t>T05-1</t>
  </si>
  <si>
    <t>PB05</t>
  </si>
  <si>
    <t>HU-09</t>
  </si>
  <si>
    <t>Programar rutinas de limpieza, tipado de datos y estandarización para la capa Silver.</t>
  </si>
  <si>
    <t>T05-2</t>
  </si>
  <si>
    <t>Implementar tabla de cuarentena para registros corruptos y lógica de deduplicación automática.</t>
  </si>
  <si>
    <t>T06-1</t>
  </si>
  <si>
    <t>PB06</t>
  </si>
  <si>
    <t>HU-08</t>
  </si>
  <si>
    <t>Configurar entorno dbt Cloud, conexión con BigQuery y estructura base del proyecto Medallion.</t>
  </si>
  <si>
    <t>Analytics Engineer</t>
  </si>
  <si>
    <t>T06-2</t>
  </si>
  <si>
    <t>Desarrollar modelos SQL para Staging, Silver y Gold (cálculo de KPIs principales de negocio).</t>
  </si>
  <si>
    <t>T06-3</t>
  </si>
  <si>
    <t>Implementar pruebas automatizadas en dbt (unique, not_null) para aserción de calidad de datos.</t>
  </si>
  <si>
    <t>T07-1</t>
  </si>
  <si>
    <t>PB07</t>
  </si>
  <si>
    <t>HU-11</t>
  </si>
  <si>
    <t>Configurar Cloud Scheduler (cron) para el disparo autónomo diario de la canalización de datos.</t>
  </si>
  <si>
    <t>T07-2</t>
  </si>
  <si>
    <t>Definir secuencia de dependencias (Bronze $\rightarrow$ dbt) y alertas de interrupción en Cloud Logging.</t>
  </si>
  <si>
    <t>T09-1</t>
  </si>
  <si>
    <t>PB09</t>
  </si>
  <si>
    <t>HU-12</t>
  </si>
  <si>
    <t>Habilitar disparador manual y paso de parámetros de rango de fechas en Cloud Run / dbt.</t>
  </si>
  <si>
    <t>T09-2</t>
  </si>
  <si>
    <t>Probar ejecuciones ad-hoc manuales y mecanismos de cancelación controlada de jobs.</t>
  </si>
  <si>
    <t>T12-1</t>
  </si>
  <si>
    <t>PB12</t>
  </si>
  <si>
    <t>HU-01</t>
  </si>
  <si>
    <t>Conectar Looker Studio con la capa Gold en BigQuery aplicando las reglas RLS/DDM correspondientes.</t>
  </si>
  <si>
    <t>BI Developer</t>
  </si>
  <si>
    <t>T12-2</t>
  </si>
  <si>
    <t>Diseñar componentes visuales del dashboard (métricas de negocio y tablas de clientes).</t>
  </si>
  <si>
    <t>T10-1</t>
  </si>
  <si>
    <t>PB10</t>
  </si>
  <si>
    <t>HU-13</t>
  </si>
  <si>
    <t>Configurar repositorio GitHub martechanalytics y pipeline CI/CD para automatizar compilación dbt.</t>
  </si>
  <si>
    <t>DevOps / CI</t>
  </si>
  <si>
    <t>T10-2</t>
  </si>
  <si>
    <t>Validar flujos de Pull Request, despliegues automáticos a BigQuery y gestión de secretos GCP.</t>
  </si>
  <si>
    <t>T08-1</t>
  </si>
  <si>
    <t>PB08</t>
  </si>
  <si>
    <t>HU-10</t>
  </si>
  <si>
    <t>Desarrollar endpoint REST en Cloud Run para exponer métricas de negocio procesadas en JSON.</t>
  </si>
  <si>
    <t>Backend Dev</t>
  </si>
  <si>
    <t>En proceso</t>
  </si>
  <si>
    <t>T08-2</t>
  </si>
  <si>
    <t>Configurar autenticación por tokens, control de tasa (throttling HTTP 429) y manejo de errores 401.</t>
  </si>
  <si>
    <t>T11-1</t>
  </si>
  <si>
    <t>PB11</t>
  </si>
  <si>
    <t>HU-14</t>
  </si>
  <si>
    <t>Centralizar métricas de ejecución, tiempos y volúmenes en pipeline_state y Cloud Logging.</t>
  </si>
  <si>
    <t>En validación</t>
  </si>
  <si>
    <t>T11-2</t>
  </si>
  <si>
    <t>Validar trazabilidad del linaje de datos (DAG dbt) y configurar alertas por descalibre de volumen.</t>
  </si>
  <si>
    <t>Data / QA</t>
  </si>
  <si>
    <t>T13-1</t>
  </si>
  <si>
    <t>PB13</t>
  </si>
  <si>
    <t>HU-02</t>
  </si>
  <si>
    <t>Implementar control de filtro por Tenant en Looker Studio con recálculo dinámico de gráficos.</t>
  </si>
  <si>
    <t>T13-2</t>
  </si>
  <si>
    <t>Evaluar la interacción entre el filtro del tablero y las políticas de fila (Row Level Security) de BigQuery.</t>
  </si>
  <si>
    <t>BI Developer / QA</t>
  </si>
  <si>
    <t>T14-1</t>
  </si>
  <si>
    <t>PB14</t>
  </si>
  <si>
    <t>HU-03</t>
  </si>
  <si>
    <t>Incorporar selectores de rangos de fechas, comparativas temporales e indicadores de tendencia.</t>
  </si>
  <si>
    <t>T14-2</t>
  </si>
  <si>
    <t>Configurar y validar la funcionalidad de exportación de informes personalizados a formato PDF y CSV.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</si>
</sst>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0"/>
      <color rgb="FF000000"/>
      <name val="Arial"/>
      <scheme val="minor"/>
    </font>
    <font>
      <sz val="11"/>
      <color theme="1"/>
      <name val="Calibri"/>
      <family val="2"/>
    </font>
    <font>
      <sz val="11"/>
      <color rgb="FF1F1F1F"/>
      <name val="Calibri"/>
      <family val="2"/>
    </font>
    <font>
      <sz val="11"/>
      <color theme="0"/>
      <name val="Calibri"/>
      <family val="2"/>
    </font>
    <font>
      <sz val="10"/>
      <color theme="0"/>
      <name val="&quot;Google Sans Text&quot;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15">
    <dxf>
      <font>
        <strike val="0"/>
        <outline val="0"/>
        <shadow val="0"/>
        <u val="none"/>
        <vertAlign val="baseline"/>
        <sz val="10"/>
        <color theme="0"/>
        <name val="&quot;Google Sans Text&quot;"/>
        <scheme val="none"/>
      </font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3">
    <tableStyle name="Sprints-style" pivot="0" count="4" xr9:uid="{00000000-0011-0000-FFFF-FFFF00000000}">
      <tableStyleElement type="wholeTable" size="0" dxfId="11"/>
      <tableStyleElement type="headerRow" dxfId="14"/>
      <tableStyleElement type="firstRowStripe" dxfId="13"/>
      <tableStyleElement type="secondRowStripe" dxfId="12"/>
    </tableStyle>
    <tableStyle name="Sprints-style 2" pivot="0" count="4" xr9:uid="{00000000-0011-0000-FFFF-FFFF01000000}">
      <tableStyleElement type="wholeTable" size="0" dxfId="7"/>
      <tableStyleElement type="headerRow" dxfId="10"/>
      <tableStyleElement type="firstRowStripe" dxfId="9"/>
      <tableStyleElement type="secondRowStripe" dxfId="8"/>
    </tableStyle>
    <tableStyle name="Sprints-style 3" pivot="0" count="4" xr9:uid="{00000000-0011-0000-FFFF-FFFF02000000}">
      <tableStyleElement type="wholeTable" size="0" dxfId="3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rint_1" displayName="Sprint_1" ref="B3:H12" headerRowDxfId="2">
  <tableColumns count="7">
    <tableColumn id="1" xr3:uid="{00000000-0010-0000-0000-000001000000}" name="ID Tarea"/>
    <tableColumn id="2" xr3:uid="{00000000-0010-0000-0000-000002000000}" name="Backlog ID"/>
    <tableColumn id="3" xr3:uid="{00000000-0010-0000-0000-000003000000}" name="Historia de Usuario"/>
    <tableColumn id="4" xr3:uid="{00000000-0010-0000-0000-000004000000}" name="Tarea Técnica / Descripción"/>
    <tableColumn id="5" xr3:uid="{00000000-0010-0000-0000-000005000000}" name="Rol Asignado"/>
    <tableColumn id="6" xr3:uid="{00000000-0010-0000-0000-000006000000}" name="Est. HH (hrs)"/>
    <tableColumn id="7" xr3:uid="{00000000-0010-0000-0000-000007000000}" name="Estado"/>
  </tableColumns>
  <tableStyleInfo name="Sprint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_2" displayName="Sprint_2" ref="B14:H26" headerRowDxfId="1">
  <tableColumns count="7">
    <tableColumn id="1" xr3:uid="{00000000-0010-0000-0100-000001000000}" name="ID Tarea"/>
    <tableColumn id="2" xr3:uid="{00000000-0010-0000-0100-000002000000}" name="Backlog ID"/>
    <tableColumn id="3" xr3:uid="{00000000-0010-0000-0100-000003000000}" name="Historia de Usuario"/>
    <tableColumn id="4" xr3:uid="{00000000-0010-0000-0100-000004000000}" name="Tarea Técnica / Descripción"/>
    <tableColumn id="5" xr3:uid="{00000000-0010-0000-0100-000005000000}" name="Rol Asignado"/>
    <tableColumn id="6" xr3:uid="{00000000-0010-0000-0100-000006000000}" name="Est. HH (hrs)"/>
    <tableColumn id="7" xr3:uid="{00000000-0010-0000-0100-000007000000}" name="Estado"/>
  </tableColumns>
  <tableStyleInfo name="Sprint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_3" displayName="Sprint_3" ref="B28:H39" headerRowDxfId="0">
  <tableColumns count="7">
    <tableColumn id="1" xr3:uid="{00000000-0010-0000-0200-000001000000}" name="ID Tarea"/>
    <tableColumn id="2" xr3:uid="{00000000-0010-0000-0200-000002000000}" name="Backlog ID"/>
    <tableColumn id="3" xr3:uid="{00000000-0010-0000-0200-000003000000}" name="Historia de Usuario"/>
    <tableColumn id="4" xr3:uid="{00000000-0010-0000-0200-000004000000}" name="Tarea Técnica / Descripción"/>
    <tableColumn id="5" xr3:uid="{00000000-0010-0000-0200-000005000000}" name="Rol Asignado"/>
    <tableColumn id="6" xr3:uid="{00000000-0010-0000-0200-000006000000}" name="Est. HH (hrs)"/>
    <tableColumn id="7" xr3:uid="{00000000-0010-0000-0200-000007000000}" name="Estado"/>
  </tableColumns>
  <tableStyleInfo name="Sprints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H39"/>
  <sheetViews>
    <sheetView tabSelected="1" topLeftCell="A31" workbookViewId="0">
      <selection activeCell="B28" sqref="B28:H28"/>
    </sheetView>
  </sheetViews>
  <sheetFormatPr baseColWidth="10" defaultColWidth="12.5703125" defaultRowHeight="15.75" customHeight="1"/>
  <cols>
    <col min="3" max="3" width="13.42578125" customWidth="1"/>
    <col min="4" max="4" width="19.85546875" customWidth="1"/>
    <col min="5" max="5" width="37.5703125" customWidth="1"/>
    <col min="6" max="6" width="15.42578125" customWidth="1"/>
    <col min="8" max="8" width="16.7109375" customWidth="1"/>
  </cols>
  <sheetData>
    <row r="2" spans="1:8" ht="15">
      <c r="A2" s="1"/>
      <c r="B2" s="1"/>
      <c r="C2" s="1"/>
      <c r="D2" s="1"/>
      <c r="E2" s="1"/>
      <c r="F2" s="1"/>
      <c r="G2" s="1"/>
      <c r="H2" s="1"/>
    </row>
    <row r="3" spans="1:8" ht="15">
      <c r="A3" s="1"/>
      <c r="B3" s="8" t="s">
        <v>0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</row>
    <row r="4" spans="1:8" ht="45">
      <c r="A4" s="1"/>
      <c r="B4" s="2" t="s">
        <v>7</v>
      </c>
      <c r="C4" s="3" t="s">
        <v>8</v>
      </c>
      <c r="D4" s="3" t="s">
        <v>9</v>
      </c>
      <c r="E4" s="3" t="s">
        <v>10</v>
      </c>
      <c r="F4" s="3" t="s">
        <v>11</v>
      </c>
      <c r="G4" s="3">
        <v>8</v>
      </c>
      <c r="H4" s="4" t="s">
        <v>12</v>
      </c>
    </row>
    <row r="5" spans="1:8" ht="45">
      <c r="A5" s="1"/>
      <c r="B5" s="5" t="s">
        <v>13</v>
      </c>
      <c r="C5" s="3" t="s">
        <v>8</v>
      </c>
      <c r="D5" s="3" t="s">
        <v>9</v>
      </c>
      <c r="E5" s="3" t="s">
        <v>14</v>
      </c>
      <c r="F5" s="3" t="s">
        <v>15</v>
      </c>
      <c r="G5" s="3">
        <v>4</v>
      </c>
      <c r="H5" s="4" t="s">
        <v>12</v>
      </c>
    </row>
    <row r="6" spans="1:8" ht="45">
      <c r="A6" s="1"/>
      <c r="B6" s="2" t="s">
        <v>16</v>
      </c>
      <c r="C6" s="3" t="s">
        <v>17</v>
      </c>
      <c r="D6" s="3" t="s">
        <v>18</v>
      </c>
      <c r="E6" s="3" t="s">
        <v>19</v>
      </c>
      <c r="F6" s="3" t="s">
        <v>20</v>
      </c>
      <c r="G6" s="3">
        <v>12</v>
      </c>
      <c r="H6" s="4" t="s">
        <v>12</v>
      </c>
    </row>
    <row r="7" spans="1:8" ht="45">
      <c r="A7" s="1"/>
      <c r="B7" s="5" t="s">
        <v>21</v>
      </c>
      <c r="C7" s="3" t="s">
        <v>17</v>
      </c>
      <c r="D7" s="3" t="s">
        <v>18</v>
      </c>
      <c r="E7" s="3" t="s">
        <v>22</v>
      </c>
      <c r="F7" s="3" t="s">
        <v>23</v>
      </c>
      <c r="G7" s="3">
        <v>6</v>
      </c>
      <c r="H7" s="4" t="s">
        <v>12</v>
      </c>
    </row>
    <row r="8" spans="1:8" ht="45">
      <c r="A8" s="1"/>
      <c r="B8" s="2" t="s">
        <v>24</v>
      </c>
      <c r="C8" s="3" t="s">
        <v>25</v>
      </c>
      <c r="D8" s="3" t="s">
        <v>26</v>
      </c>
      <c r="E8" s="3" t="s">
        <v>27</v>
      </c>
      <c r="F8" s="3" t="s">
        <v>20</v>
      </c>
      <c r="G8" s="3">
        <v>10</v>
      </c>
      <c r="H8" s="4" t="s">
        <v>12</v>
      </c>
    </row>
    <row r="9" spans="1:8" ht="45">
      <c r="A9" s="1"/>
      <c r="B9" s="5" t="s">
        <v>28</v>
      </c>
      <c r="C9" s="3" t="s">
        <v>25</v>
      </c>
      <c r="D9" s="3" t="s">
        <v>26</v>
      </c>
      <c r="E9" s="3" t="s">
        <v>29</v>
      </c>
      <c r="F9" s="3" t="s">
        <v>23</v>
      </c>
      <c r="G9" s="3">
        <v>6</v>
      </c>
      <c r="H9" s="4" t="s">
        <v>12</v>
      </c>
    </row>
    <row r="10" spans="1:8" ht="45">
      <c r="A10" s="1"/>
      <c r="B10" s="2" t="s">
        <v>30</v>
      </c>
      <c r="C10" s="3" t="s">
        <v>31</v>
      </c>
      <c r="D10" s="3" t="s">
        <v>32</v>
      </c>
      <c r="E10" s="3" t="s">
        <v>33</v>
      </c>
      <c r="F10" s="3" t="s">
        <v>20</v>
      </c>
      <c r="G10" s="3">
        <v>12</v>
      </c>
      <c r="H10" s="4" t="s">
        <v>12</v>
      </c>
    </row>
    <row r="11" spans="1:8" ht="45">
      <c r="A11" s="1"/>
      <c r="B11" s="5" t="s">
        <v>34</v>
      </c>
      <c r="C11" s="3" t="s">
        <v>31</v>
      </c>
      <c r="D11" s="3" t="s">
        <v>32</v>
      </c>
      <c r="E11" s="3" t="s">
        <v>35</v>
      </c>
      <c r="F11" s="3" t="s">
        <v>20</v>
      </c>
      <c r="G11" s="3">
        <v>14</v>
      </c>
      <c r="H11" s="4" t="s">
        <v>12</v>
      </c>
    </row>
    <row r="12" spans="1:8" ht="15">
      <c r="A12" s="1"/>
      <c r="B12" s="6"/>
      <c r="C12" s="6"/>
      <c r="D12" s="6"/>
      <c r="E12" s="6"/>
      <c r="F12" s="3" t="s">
        <v>36</v>
      </c>
      <c r="G12" s="3">
        <f>SUM(G4:G11)</f>
        <v>72</v>
      </c>
      <c r="H12" s="7"/>
    </row>
    <row r="13" spans="1:8" ht="15">
      <c r="A13" s="1"/>
      <c r="B13" s="1"/>
      <c r="C13" s="1"/>
      <c r="D13" s="1"/>
      <c r="E13" s="1"/>
      <c r="F13" s="1"/>
      <c r="G13" s="1"/>
      <c r="H13" s="1"/>
    </row>
    <row r="14" spans="1:8" ht="15">
      <c r="A14" s="1"/>
      <c r="B14" s="8" t="s">
        <v>0</v>
      </c>
      <c r="C14" s="8" t="s">
        <v>1</v>
      </c>
      <c r="D14" s="8" t="s">
        <v>2</v>
      </c>
      <c r="E14" s="8" t="s">
        <v>3</v>
      </c>
      <c r="F14" s="8" t="s">
        <v>4</v>
      </c>
      <c r="G14" s="8" t="s">
        <v>5</v>
      </c>
      <c r="H14" s="8" t="s">
        <v>6</v>
      </c>
    </row>
    <row r="15" spans="1:8" ht="45">
      <c r="A15" s="1"/>
      <c r="B15" s="2" t="s">
        <v>37</v>
      </c>
      <c r="C15" s="3" t="s">
        <v>38</v>
      </c>
      <c r="D15" s="3" t="s">
        <v>39</v>
      </c>
      <c r="E15" s="3" t="s">
        <v>40</v>
      </c>
      <c r="F15" s="3" t="s">
        <v>20</v>
      </c>
      <c r="G15" s="3">
        <v>10</v>
      </c>
      <c r="H15" s="4" t="s">
        <v>12</v>
      </c>
    </row>
    <row r="16" spans="1:8" ht="45">
      <c r="A16" s="1"/>
      <c r="B16" s="5" t="s">
        <v>41</v>
      </c>
      <c r="C16" s="3" t="s">
        <v>38</v>
      </c>
      <c r="D16" s="3" t="s">
        <v>39</v>
      </c>
      <c r="E16" s="3" t="s">
        <v>42</v>
      </c>
      <c r="F16" s="3" t="s">
        <v>20</v>
      </c>
      <c r="G16" s="3">
        <v>8</v>
      </c>
      <c r="H16" s="4" t="s">
        <v>12</v>
      </c>
    </row>
    <row r="17" spans="1:8" ht="45">
      <c r="A17" s="1"/>
      <c r="B17" s="2" t="s">
        <v>43</v>
      </c>
      <c r="C17" s="3" t="s">
        <v>44</v>
      </c>
      <c r="D17" s="3" t="s">
        <v>45</v>
      </c>
      <c r="E17" s="3" t="s">
        <v>46</v>
      </c>
      <c r="F17" s="3" t="s">
        <v>47</v>
      </c>
      <c r="G17" s="3">
        <v>6</v>
      </c>
      <c r="H17" s="4" t="s">
        <v>12</v>
      </c>
    </row>
    <row r="18" spans="1:8" ht="45">
      <c r="A18" s="1"/>
      <c r="B18" s="5" t="s">
        <v>48</v>
      </c>
      <c r="C18" s="3" t="s">
        <v>44</v>
      </c>
      <c r="D18" s="3" t="s">
        <v>45</v>
      </c>
      <c r="E18" s="3" t="s">
        <v>49</v>
      </c>
      <c r="F18" s="3" t="s">
        <v>47</v>
      </c>
      <c r="G18" s="3">
        <v>14</v>
      </c>
      <c r="H18" s="4" t="s">
        <v>12</v>
      </c>
    </row>
    <row r="19" spans="1:8" ht="45">
      <c r="A19" s="1"/>
      <c r="B19" s="2" t="s">
        <v>50</v>
      </c>
      <c r="C19" s="3" t="s">
        <v>44</v>
      </c>
      <c r="D19" s="3" t="s">
        <v>45</v>
      </c>
      <c r="E19" s="3" t="s">
        <v>51</v>
      </c>
      <c r="F19" s="3" t="s">
        <v>47</v>
      </c>
      <c r="G19" s="3">
        <v>6</v>
      </c>
      <c r="H19" s="4" t="s">
        <v>12</v>
      </c>
    </row>
    <row r="20" spans="1:8" ht="45">
      <c r="A20" s="1"/>
      <c r="B20" s="5" t="s">
        <v>52</v>
      </c>
      <c r="C20" s="3" t="s">
        <v>53</v>
      </c>
      <c r="D20" s="3" t="s">
        <v>54</v>
      </c>
      <c r="E20" s="3" t="s">
        <v>55</v>
      </c>
      <c r="F20" s="3" t="s">
        <v>11</v>
      </c>
      <c r="G20" s="3">
        <v>6</v>
      </c>
      <c r="H20" s="4" t="s">
        <v>12</v>
      </c>
    </row>
    <row r="21" spans="1:8" ht="45">
      <c r="A21" s="1"/>
      <c r="B21" s="2" t="s">
        <v>56</v>
      </c>
      <c r="C21" s="3" t="s">
        <v>53</v>
      </c>
      <c r="D21" s="3" t="s">
        <v>54</v>
      </c>
      <c r="E21" s="3" t="s">
        <v>57</v>
      </c>
      <c r="F21" s="3" t="s">
        <v>11</v>
      </c>
      <c r="G21" s="3">
        <v>4</v>
      </c>
      <c r="H21" s="4" t="s">
        <v>12</v>
      </c>
    </row>
    <row r="22" spans="1:8" ht="45">
      <c r="A22" s="1"/>
      <c r="B22" s="5" t="s">
        <v>58</v>
      </c>
      <c r="C22" s="3" t="s">
        <v>59</v>
      </c>
      <c r="D22" s="3" t="s">
        <v>60</v>
      </c>
      <c r="E22" s="3" t="s">
        <v>61</v>
      </c>
      <c r="F22" s="3" t="s">
        <v>11</v>
      </c>
      <c r="G22" s="3">
        <v>4</v>
      </c>
      <c r="H22" s="4" t="s">
        <v>12</v>
      </c>
    </row>
    <row r="23" spans="1:8" ht="45">
      <c r="A23" s="1"/>
      <c r="B23" s="2" t="s">
        <v>62</v>
      </c>
      <c r="C23" s="3" t="s">
        <v>59</v>
      </c>
      <c r="D23" s="3" t="s">
        <v>60</v>
      </c>
      <c r="E23" s="3" t="s">
        <v>63</v>
      </c>
      <c r="F23" s="3" t="s">
        <v>20</v>
      </c>
      <c r="G23" s="3">
        <v>4</v>
      </c>
      <c r="H23" s="4" t="s">
        <v>12</v>
      </c>
    </row>
    <row r="24" spans="1:8" ht="45">
      <c r="A24" s="1"/>
      <c r="B24" s="5" t="s">
        <v>64</v>
      </c>
      <c r="C24" s="3" t="s">
        <v>65</v>
      </c>
      <c r="D24" s="3" t="s">
        <v>66</v>
      </c>
      <c r="E24" s="3" t="s">
        <v>67</v>
      </c>
      <c r="F24" s="3" t="s">
        <v>68</v>
      </c>
      <c r="G24" s="3">
        <v>6</v>
      </c>
      <c r="H24" s="4" t="s">
        <v>12</v>
      </c>
    </row>
    <row r="25" spans="1:8" ht="45">
      <c r="A25" s="1"/>
      <c r="B25" s="2" t="s">
        <v>69</v>
      </c>
      <c r="C25" s="3" t="s">
        <v>65</v>
      </c>
      <c r="D25" s="3" t="s">
        <v>66</v>
      </c>
      <c r="E25" s="3" t="s">
        <v>70</v>
      </c>
      <c r="F25" s="3" t="s">
        <v>68</v>
      </c>
      <c r="G25" s="3">
        <v>10</v>
      </c>
      <c r="H25" s="4" t="s">
        <v>12</v>
      </c>
    </row>
    <row r="26" spans="1:8" ht="15">
      <c r="B26" s="6"/>
      <c r="C26" s="6"/>
      <c r="D26" s="6"/>
      <c r="E26" s="6"/>
      <c r="F26" s="3" t="s">
        <v>36</v>
      </c>
      <c r="G26" s="3">
        <f>SUM(G15:G25)</f>
        <v>78</v>
      </c>
      <c r="H26" s="7"/>
    </row>
    <row r="27" spans="1:8" ht="12.75"/>
    <row r="28" spans="1:8" ht="12.75">
      <c r="B28" s="9" t="s">
        <v>0</v>
      </c>
      <c r="C28" s="9" t="s">
        <v>1</v>
      </c>
      <c r="D28" s="9" t="s">
        <v>2</v>
      </c>
      <c r="E28" s="9" t="s">
        <v>3</v>
      </c>
      <c r="F28" s="9" t="s">
        <v>4</v>
      </c>
      <c r="G28" s="9" t="s">
        <v>5</v>
      </c>
      <c r="H28" s="9" t="s">
        <v>6</v>
      </c>
    </row>
    <row r="29" spans="1:8" ht="45">
      <c r="B29" s="5" t="s">
        <v>71</v>
      </c>
      <c r="C29" s="3" t="s">
        <v>72</v>
      </c>
      <c r="D29" s="3" t="s">
        <v>73</v>
      </c>
      <c r="E29" s="3" t="s">
        <v>74</v>
      </c>
      <c r="F29" s="3" t="s">
        <v>75</v>
      </c>
      <c r="G29" s="3">
        <v>6</v>
      </c>
      <c r="H29" s="4" t="s">
        <v>12</v>
      </c>
    </row>
    <row r="30" spans="1:8" ht="45">
      <c r="B30" s="2" t="s">
        <v>76</v>
      </c>
      <c r="C30" s="3" t="s">
        <v>72</v>
      </c>
      <c r="D30" s="3" t="s">
        <v>73</v>
      </c>
      <c r="E30" s="3" t="s">
        <v>77</v>
      </c>
      <c r="F30" s="3" t="s">
        <v>47</v>
      </c>
      <c r="G30" s="3">
        <v>4</v>
      </c>
      <c r="H30" s="4" t="s">
        <v>12</v>
      </c>
    </row>
    <row r="31" spans="1:8" ht="45">
      <c r="B31" s="5" t="s">
        <v>78</v>
      </c>
      <c r="C31" s="3" t="s">
        <v>79</v>
      </c>
      <c r="D31" s="3" t="s">
        <v>80</v>
      </c>
      <c r="E31" s="3" t="s">
        <v>81</v>
      </c>
      <c r="F31" s="3" t="s">
        <v>82</v>
      </c>
      <c r="G31" s="3">
        <v>12</v>
      </c>
      <c r="H31" s="4" t="s">
        <v>83</v>
      </c>
    </row>
    <row r="32" spans="1:8" ht="45">
      <c r="B32" s="2" t="s">
        <v>84</v>
      </c>
      <c r="C32" s="3" t="s">
        <v>79</v>
      </c>
      <c r="D32" s="3" t="s">
        <v>80</v>
      </c>
      <c r="E32" s="3" t="s">
        <v>85</v>
      </c>
      <c r="F32" s="3" t="s">
        <v>82</v>
      </c>
      <c r="G32" s="3">
        <v>8</v>
      </c>
      <c r="H32" s="4" t="s">
        <v>83</v>
      </c>
    </row>
    <row r="33" spans="2:8" ht="45">
      <c r="B33" s="5" t="s">
        <v>86</v>
      </c>
      <c r="C33" s="3" t="s">
        <v>87</v>
      </c>
      <c r="D33" s="3" t="s">
        <v>88</v>
      </c>
      <c r="E33" s="3" t="s">
        <v>89</v>
      </c>
      <c r="F33" s="3" t="s">
        <v>11</v>
      </c>
      <c r="G33" s="3">
        <v>8</v>
      </c>
      <c r="H33" s="4" t="s">
        <v>90</v>
      </c>
    </row>
    <row r="34" spans="2:8" ht="45">
      <c r="B34" s="2" t="s">
        <v>91</v>
      </c>
      <c r="C34" s="3" t="s">
        <v>87</v>
      </c>
      <c r="D34" s="3" t="s">
        <v>88</v>
      </c>
      <c r="E34" s="3" t="s">
        <v>92</v>
      </c>
      <c r="F34" s="3" t="s">
        <v>93</v>
      </c>
      <c r="G34" s="3">
        <v>6</v>
      </c>
      <c r="H34" s="4" t="s">
        <v>90</v>
      </c>
    </row>
    <row r="35" spans="2:8" ht="45">
      <c r="B35" s="5" t="s">
        <v>94</v>
      </c>
      <c r="C35" s="3" t="s">
        <v>95</v>
      </c>
      <c r="D35" s="3" t="s">
        <v>96</v>
      </c>
      <c r="E35" s="3" t="s">
        <v>97</v>
      </c>
      <c r="F35" s="3" t="s">
        <v>68</v>
      </c>
      <c r="G35" s="3">
        <v>6</v>
      </c>
      <c r="H35" s="4" t="s">
        <v>90</v>
      </c>
    </row>
    <row r="36" spans="2:8" ht="45">
      <c r="B36" s="2" t="s">
        <v>98</v>
      </c>
      <c r="C36" s="3" t="s">
        <v>95</v>
      </c>
      <c r="D36" s="3" t="s">
        <v>96</v>
      </c>
      <c r="E36" s="3" t="s">
        <v>99</v>
      </c>
      <c r="F36" s="3" t="s">
        <v>100</v>
      </c>
      <c r="G36" s="3">
        <v>4</v>
      </c>
      <c r="H36" s="4" t="s">
        <v>90</v>
      </c>
    </row>
    <row r="37" spans="2:8" ht="45">
      <c r="B37" s="5" t="s">
        <v>101</v>
      </c>
      <c r="C37" s="3" t="s">
        <v>102</v>
      </c>
      <c r="D37" s="3" t="s">
        <v>103</v>
      </c>
      <c r="E37" s="3" t="s">
        <v>104</v>
      </c>
      <c r="F37" s="3" t="s">
        <v>68</v>
      </c>
      <c r="G37" s="3">
        <v>8</v>
      </c>
      <c r="H37" s="4" t="s">
        <v>90</v>
      </c>
    </row>
    <row r="38" spans="2:8" ht="45">
      <c r="B38" s="2" t="s">
        <v>105</v>
      </c>
      <c r="C38" s="3" t="s">
        <v>102</v>
      </c>
      <c r="D38" s="3" t="s">
        <v>103</v>
      </c>
      <c r="E38" s="3" t="s">
        <v>106</v>
      </c>
      <c r="F38" s="3" t="s">
        <v>68</v>
      </c>
      <c r="G38" s="3">
        <v>4</v>
      </c>
      <c r="H38" s="4" t="s">
        <v>90</v>
      </c>
    </row>
    <row r="39" spans="2:8" ht="15">
      <c r="B39" s="6"/>
      <c r="C39" s="6"/>
      <c r="D39" s="6"/>
      <c r="E39" s="6"/>
      <c r="F39" s="3" t="s">
        <v>36</v>
      </c>
      <c r="G39" s="3">
        <f>SUM(G29:G38)</f>
        <v>66</v>
      </c>
      <c r="H39" s="7"/>
    </row>
  </sheetData>
  <dataValidations count="2">
    <dataValidation type="list" allowBlank="1" sqref="H15:H26 H29:H39" xr:uid="{00000000-0002-0000-0000-000000000000}">
      <formula1>"Pendiente,En proceso,En validación,Terminado"</formula1>
    </dataValidation>
    <dataValidation type="list" allowBlank="1" sqref="H4:H12" xr:uid="{00000000-0002-0000-0000-000001000000}">
      <formula1>"Terminado,Pendiente,En validación,En proceso"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Sprints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JAIME ANDRES VERGARA CORONADO</cp:lastModifiedBy>
  <dcterms:modified xsi:type="dcterms:W3CDTF">2026-10-05T22:46:40Z</dcterms:modified>
</cp:coreProperties>
</file>
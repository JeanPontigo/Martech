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5"/>
  </sheets>
  <definedNames/>
  <calcPr/>
</workbook>
</file>

<file path=xl/sharedStrings.xml><?xml version="1.0" encoding="utf-8"?>
<sst xmlns="http://schemas.openxmlformats.org/spreadsheetml/2006/main" count="387" uniqueCount="180">
  <si>
    <t>ID Tarea</t>
  </si>
  <si>
    <t>Backlog ID</t>
  </si>
  <si>
    <t>Historia de Usuario</t>
  </si>
  <si>
    <t>Tarea Técnica / Descripción</t>
  </si>
  <si>
    <t>Rol Asignado</t>
  </si>
  <si>
    <t>Est. HH (hrs)</t>
  </si>
  <si>
    <t>Estado</t>
  </si>
  <si>
    <t>T00-1</t>
  </si>
  <si>
    <t xml:space="preserve">- </t>
  </si>
  <si>
    <t>Enabler</t>
  </si>
  <si>
    <t>Levantamiento de fuentes de datos y endpoints por tenant</t>
  </si>
  <si>
    <t>Data Engineer</t>
  </si>
  <si>
    <t>Terminado</t>
  </si>
  <si>
    <t>T00-2</t>
  </si>
  <si>
    <t>Definición de historias de usuario y product backlog</t>
  </si>
  <si>
    <t>Equipo</t>
  </si>
  <si>
    <t>T00-3</t>
  </si>
  <si>
    <t>Diseño de arquitectura Medallion y selección de stack</t>
  </si>
  <si>
    <t>Data Architect</t>
  </si>
  <si>
    <t>T00-4</t>
  </si>
  <si>
    <t>Diseño del modelo de datos por capa (Bronze/Silver/Gold)</t>
  </si>
  <si>
    <t>T00-5</t>
  </si>
  <si>
    <t>Definición de estándares, convenciones y estrategia multi-tenant</t>
  </si>
  <si>
    <t>T00-6</t>
  </si>
  <si>
    <t>Provisionamiento inicial del proyecto GCP y accesos</t>
  </si>
  <si>
    <t>Cloud Engineer</t>
  </si>
  <si>
    <t>T00-7</t>
  </si>
  <si>
    <t>Modelado de procesos (BPMN) y diagramas de apoyo</t>
  </si>
  <si>
    <t>T00-8</t>
  </si>
  <si>
    <t>Planificación de sprints, carta Gantt y definición de DoD</t>
  </si>
  <si>
    <t>Scrum Master</t>
  </si>
  <si>
    <t>Total hh</t>
  </si>
  <si>
    <t>T01-1</t>
  </si>
  <si>
    <t>PB01</t>
  </si>
  <si>
    <t>HU-06</t>
  </si>
  <si>
    <t>Crear y configurar cuentas de servicio saccount en GCP IAM aplicando mínimo privilegio.</t>
  </si>
  <si>
    <t>T01-2</t>
  </si>
  <si>
    <t>Configurar políticas de tokens, expiración de claves y auditoría de accesos denegados.</t>
  </si>
  <si>
    <t>Security Admin</t>
  </si>
  <si>
    <t>T02-1</t>
  </si>
  <si>
    <t>PB02</t>
  </si>
  <si>
    <t>HU-04</t>
  </si>
  <si>
    <t>Definir e implementar políticas de Row Level Security (RLS) por tenant_id en tablas BigQuery.</t>
  </si>
  <si>
    <t>T02-2</t>
  </si>
  <si>
    <t>Ejecutar pruebas de aislamiento de datos y simulación de accesos no autorizados entre tenants.</t>
  </si>
  <si>
    <t>QA / Security</t>
  </si>
  <si>
    <t>T03-1</t>
  </si>
  <si>
    <t>PB03</t>
  </si>
  <si>
    <t>HU-05</t>
  </si>
  <si>
    <t>Crear Policy Tags de Dynamic Data Masking (DDM) para enmascarar RUT, email y teléfono.</t>
  </si>
  <si>
    <t>T03-2</t>
  </si>
  <si>
    <t>Asignar rol Masked Reader y validar des-enmascaramiento seguro en logs de auditoría.</t>
  </si>
  <si>
    <t>T04-1</t>
  </si>
  <si>
    <t>PB04</t>
  </si>
  <si>
    <t>HU-07</t>
  </si>
  <si>
    <t>Desarrollar script Python en Cloud Run Job para extracción incremental desde API Magento.</t>
  </si>
  <si>
    <t>T04-2</t>
  </si>
  <si>
    <t>Crear tabla pipeline_state para control de marcas de agua, reintentos e idempotencia.</t>
  </si>
  <si>
    <t>T17-1</t>
  </si>
  <si>
    <t>PB17</t>
  </si>
  <si>
    <t>HU-17</t>
  </si>
  <si>
    <t>Definir procedimiento de alta y plantilla de configuración por tenant</t>
  </si>
  <si>
    <t>T15-1</t>
  </si>
  <si>
    <t>PB15</t>
  </si>
  <si>
    <t>HU-15</t>
  </si>
  <si>
    <t>Desarrollar pipeline de extracción Mailup con llamadas complementarias por mensaje</t>
  </si>
  <si>
    <t>T05-1</t>
  </si>
  <si>
    <t>PB05</t>
  </si>
  <si>
    <t>HU-09</t>
  </si>
  <si>
    <t>Programar rutinas de limpieza, tipado de datos y estandarización para la capa Silver.</t>
  </si>
  <si>
    <t>T05-2</t>
  </si>
  <si>
    <t>Implementar tabla de cuarentena para registros corruptos y lógica de deduplicación automática.</t>
  </si>
  <si>
    <t>T06-1</t>
  </si>
  <si>
    <t>PB06</t>
  </si>
  <si>
    <t>HU-08</t>
  </si>
  <si>
    <t>Configurar entorno dbt Cloud, conexión con BigQuery y estructura base del proyecto Medallion.</t>
  </si>
  <si>
    <t>Analytics Engineer</t>
  </si>
  <si>
    <t>T06-2</t>
  </si>
  <si>
    <t>Desarrollar modelos SQL para Staging, Silver y Gold (cálculo de KPIs principales de negocio).</t>
  </si>
  <si>
    <t>T06-3</t>
  </si>
  <si>
    <t>Implementar pruebas automatizadas en dbt (unique, not_null) para aserción de calidad de datos.</t>
  </si>
  <si>
    <t>T07-1</t>
  </si>
  <si>
    <t>PB07</t>
  </si>
  <si>
    <t>HU-11</t>
  </si>
  <si>
    <t>Configurar Cloud Scheduler (cron) para el disparo autónomo diario de la canalización de datos.</t>
  </si>
  <si>
    <t>T07-2</t>
  </si>
  <si>
    <t>Definir secuencia de dependencias (Bronze $\rightarrow$ dbt) y alertas de interrupción en Cloud Logging.</t>
  </si>
  <si>
    <t>T09-1</t>
  </si>
  <si>
    <t>PB09</t>
  </si>
  <si>
    <t>HU-12</t>
  </si>
  <si>
    <t>Habilitar disparador manual y paso de parámetros de rango de fechas en Cloud Run / dbt.</t>
  </si>
  <si>
    <t>T09-2</t>
  </si>
  <si>
    <t>Probar ejecuciones ad-hoc manuales y mecanismos de cancelación controlada de jobs.</t>
  </si>
  <si>
    <t>T12-1</t>
  </si>
  <si>
    <t>PB12</t>
  </si>
  <si>
    <t>HU-01</t>
  </si>
  <si>
    <t>Conectar Looker Studio con la capa Gold en BigQuery aplicando las reglas RLS/DDM correspondientes.</t>
  </si>
  <si>
    <t>BI Developer</t>
  </si>
  <si>
    <t>T12-2</t>
  </si>
  <si>
    <t>Diseñar componentes visuales del dashboard (métricas de negocio y tablas de clientes).</t>
  </si>
  <si>
    <t>T15-2</t>
  </si>
  <si>
    <t>Desarrollar pipeline Fidelizador con ventana retroactiva y clasificación por keywords</t>
  </si>
  <si>
    <t>T15-3</t>
  </si>
  <si>
    <t>Desarrollar modelo de consolidación de campañas en Silver con deduplicación</t>
  </si>
  <si>
    <t>T16-1</t>
  </si>
  <si>
    <t>PB16</t>
  </si>
  <si>
    <t>HU-16</t>
  </si>
  <si>
    <t>Habilitar y validar la exportación nativa de analítica web hacia el ambiente de datos</t>
  </si>
  <si>
    <t>T16-2</t>
  </si>
  <si>
    <t>Desarrollar modelo de eventos web en la capa Silver</t>
  </si>
  <si>
    <t>T18-1</t>
  </si>
  <si>
    <t>PB18</t>
  </si>
  <si>
    <t>HU-18</t>
  </si>
  <si>
    <t>Implementar modo de carga histórica con troceo por bloques y reintento controlado</t>
  </si>
  <si>
    <t>T18-2</t>
  </si>
  <si>
    <t>Ejecutar y supervisar la carga histórica de cada tenant</t>
  </si>
  <si>
    <t>T10-1</t>
  </si>
  <si>
    <t>PB10</t>
  </si>
  <si>
    <t>HU-13</t>
  </si>
  <si>
    <t>Configurar repositorio GitHub martechanalytics y pipeline CI/CD para automatizar compilación dbt.</t>
  </si>
  <si>
    <t>DevOps / CI</t>
  </si>
  <si>
    <t>T10-2</t>
  </si>
  <si>
    <t>Validar flujos de Pull Request, despliegues automáticos a BigQuery y gestión de secretos GCP.</t>
  </si>
  <si>
    <t>T08-1</t>
  </si>
  <si>
    <t>PB08</t>
  </si>
  <si>
    <t>HU-10</t>
  </si>
  <si>
    <t>Desarrollar endpoint REST en Cloud Run para exponer métricas de negocio procesadas en JSON.</t>
  </si>
  <si>
    <t>Backend Dev</t>
  </si>
  <si>
    <t>T08-2</t>
  </si>
  <si>
    <t>Configurar autenticación por tokens, control de tasa (throttling HTTP 429) y manejo de errores 401.</t>
  </si>
  <si>
    <t>T11-1</t>
  </si>
  <si>
    <t>PB11</t>
  </si>
  <si>
    <t>HU-14</t>
  </si>
  <si>
    <t>Centralizar métricas de ejecución, tiempos y volúmenes en pipeline_state y Cloud Logging.</t>
  </si>
  <si>
    <t>T11-2</t>
  </si>
  <si>
    <t>Validar trazabilidad del linaje de datos (DAG dbt) y configurar alertas por descalibre de volumen.</t>
  </si>
  <si>
    <t>Data / QA</t>
  </si>
  <si>
    <t>T13-1</t>
  </si>
  <si>
    <t>PB13</t>
  </si>
  <si>
    <t>HU-02</t>
  </si>
  <si>
    <t>Implementar control de filtro por Tenant en Looker Studio con recálculo dinámico de gráficos.</t>
  </si>
  <si>
    <t>T13-2</t>
  </si>
  <si>
    <t>Evaluar la interacción entre el filtro del tablero y las políticas de fila (Row Level Security) de BigQuery.</t>
  </si>
  <si>
    <t>BI Developer / QA</t>
  </si>
  <si>
    <t>T14-1</t>
  </si>
  <si>
    <t>PB14</t>
  </si>
  <si>
    <t>HU-03</t>
  </si>
  <si>
    <t>Incorporar selectores de rangos de fechas, comparativas temporales e indicadores de tendencia.</t>
  </si>
  <si>
    <t>T16-3</t>
  </si>
  <si>
    <t>Desarrollar modelos Gold de atribución entre campañas y comportamiento web</t>
  </si>
  <si>
    <t>T17-2</t>
  </si>
  <si>
    <t>Desplegar pipelines y vistas de preparación para el tenant AATN</t>
  </si>
  <si>
    <t>T17-3</t>
  </si>
  <si>
    <t>Desplegar pipelines y vistas de preparación para el tenant MC</t>
  </si>
  <si>
    <t>T17-4</t>
  </si>
  <si>
    <t>Validar aislamiento de datos y habilitar el tablero del nuevo tenant</t>
  </si>
  <si>
    <t>QA / BI Developer</t>
  </si>
  <si>
    <t>T18-3</t>
  </si>
  <si>
    <t>Validar integridad referencial del histórico consolidado</t>
  </si>
  <si>
    <t>T19-1</t>
  </si>
  <si>
    <t>PB19</t>
  </si>
  <si>
    <t>HU-19</t>
  </si>
  <si>
    <t>Construir las consultas de contraste entre la plataforma y las fuentes de origen</t>
  </si>
  <si>
    <t>T19-2</t>
  </si>
  <si>
    <t>Ejecutar la auditoría por tenant y documentar las diferencias detectadas</t>
  </si>
  <si>
    <t>T19-3</t>
  </si>
  <si>
    <t>Corregir y reprocesar los períodos con discrepancia no explicada</t>
  </si>
  <si>
    <t>TC-1</t>
  </si>
  <si>
    <t>-</t>
  </si>
  <si>
    <t>Marcha blanca: operación supervisada del pipeline con los 3 tenants</t>
  </si>
  <si>
    <t>En proceso</t>
  </si>
  <si>
    <t>TC-2</t>
  </si>
  <si>
    <t>Registro y corrección de incidencias detectadas en marcha blanca</t>
  </si>
  <si>
    <t>Pendiente</t>
  </si>
  <si>
    <t>TC-3</t>
  </si>
  <si>
    <t>Validación final de datos contra endpoints por tenant</t>
  </si>
  <si>
    <t>TC-4</t>
  </si>
  <si>
    <t>Documentación técnica final y manual de operación</t>
  </si>
  <si>
    <t>TC-5</t>
  </si>
  <si>
    <t>Traspaso a operación y cierre formal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</si>
</sst>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1F1F1F"/>
      <name val="Calibri"/>
    </font>
    <font>
      <b/>
      <sz val="14.0"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2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5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pr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H14" displayName="Sprint_0" name="Sprint_0" id="1">
  <tableColumns count="7">
    <tableColumn name="ID Tarea" id="1"/>
    <tableColumn name="Backlog ID" id="2"/>
    <tableColumn name="Historia de Usuario" id="3"/>
    <tableColumn name="Tarea Técnica / Descripción" id="4"/>
    <tableColumn name="Rol Asignado" id="5"/>
    <tableColumn name="Est. HH (hrs)" id="6"/>
    <tableColumn name="Estado" id="7"/>
  </tableColumns>
  <tableStyleInfo name="Sprints-style" showColumnStripes="0" showFirstColumn="1" showLastColumn="1" showRowStripes="1"/>
</table>
</file>

<file path=xl/tables/table2.xml><?xml version="1.0" encoding="utf-8"?>
<table xmlns="http://schemas.openxmlformats.org/spreadsheetml/2006/main" ref="B16:H27" displayName="Sprint_1" name="Sprint_1" id="2">
  <tableColumns count="7">
    <tableColumn name="ID Tarea" id="1"/>
    <tableColumn name="Backlog ID" id="2"/>
    <tableColumn name="Historia de Usuario" id="3"/>
    <tableColumn name="Tarea Técnica / Descripción" id="4"/>
    <tableColumn name="Rol Asignado" id="5"/>
    <tableColumn name="Est. HH (hrs)" id="6"/>
    <tableColumn name="Estado" id="7"/>
  </tableColumns>
  <tableStyleInfo name="Sprints-style 2" showColumnStripes="0" showFirstColumn="1" showLastColumn="1" showRowStripes="1"/>
</table>
</file>

<file path=xl/tables/table3.xml><?xml version="1.0" encoding="utf-8"?>
<table xmlns="http://schemas.openxmlformats.org/spreadsheetml/2006/main" ref="B29:H47" displayName="Sprint_2" name="Sprint_2" id="3">
  <tableColumns count="7">
    <tableColumn name="ID Tarea" id="1"/>
    <tableColumn name="Backlog ID" id="2"/>
    <tableColumn name="Historia de Usuario" id="3"/>
    <tableColumn name="Tarea Técnica / Descripción" id="4"/>
    <tableColumn name="Rol Asignado" id="5"/>
    <tableColumn name="Est. HH (hrs)" id="6"/>
    <tableColumn name="Estado" id="7"/>
  </tableColumns>
  <tableStyleInfo name="Sprints-style 3" showColumnStripes="0" showFirstColumn="1" showLastColumn="1" showRowStripes="1"/>
</table>
</file>

<file path=xl/tables/table4.xml><?xml version="1.0" encoding="utf-8"?>
<table xmlns="http://schemas.openxmlformats.org/spreadsheetml/2006/main" ref="B49:H67" displayName="Sprint_3" name="Sprint_3" id="4">
  <tableColumns count="7">
    <tableColumn name="ID Tarea" id="1"/>
    <tableColumn name="Backlog ID" id="2"/>
    <tableColumn name="Historia de Usuario" id="3"/>
    <tableColumn name="Tarea Técnica / Descripción" id="4"/>
    <tableColumn name="Rol Asignado" id="5"/>
    <tableColumn name="Est. HH (hrs)" id="6"/>
    <tableColumn name="Estado" id="7"/>
  </tableColumns>
  <tableStyleInfo name="Sprints-style 4" showColumnStripes="0" showFirstColumn="1" showLastColumn="1" showRowStripes="1"/>
</table>
</file>

<file path=xl/tables/table5.xml><?xml version="1.0" encoding="utf-8"?>
<table xmlns="http://schemas.openxmlformats.org/spreadsheetml/2006/main" ref="B71:H77" displayName="Cierre" name="Cierre" id="5">
  <tableColumns count="7">
    <tableColumn name="ID Tarea" id="1"/>
    <tableColumn name="Backlog ID" id="2"/>
    <tableColumn name="Historia de Usuario" id="3"/>
    <tableColumn name="Tarea Técnica / Descripción" id="4"/>
    <tableColumn name="Rol Asignado" id="5"/>
    <tableColumn name="Est. HH (hrs)" id="6"/>
    <tableColumn name="Estado" id="7"/>
  </tableColumns>
  <tableStyleInfo name="Sprint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9.88"/>
    <col customWidth="1" min="5" max="5" width="37.63"/>
    <col customWidth="1" min="6" max="6" width="15.38"/>
    <col customWidth="1" min="8" max="8" width="16.75"/>
  </cols>
  <sheetData>
    <row r="2">
      <c r="A2" s="1"/>
    </row>
    <row r="3">
      <c r="A3" s="1"/>
    </row>
    <row r="4">
      <c r="A4" s="1"/>
      <c r="B4" s="1"/>
      <c r="C4" s="1"/>
      <c r="D4" s="1"/>
      <c r="E4" s="1"/>
      <c r="F4" s="1"/>
      <c r="G4" s="1"/>
      <c r="H4" s="1"/>
    </row>
    <row r="5" ht="22.5" customHeight="1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3"/>
      <c r="L5" s="3"/>
      <c r="M5" s="3"/>
    </row>
    <row r="6" ht="22.5" customHeight="1">
      <c r="A6" s="1"/>
      <c r="B6" s="4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>
        <v>24.0</v>
      </c>
      <c r="H6" s="6" t="s">
        <v>12</v>
      </c>
    </row>
    <row r="7" ht="22.5" customHeight="1">
      <c r="A7" s="1"/>
      <c r="B7" s="7" t="s">
        <v>13</v>
      </c>
      <c r="C7" s="5" t="s">
        <v>8</v>
      </c>
      <c r="D7" s="5" t="s">
        <v>9</v>
      </c>
      <c r="E7" s="5" t="s">
        <v>14</v>
      </c>
      <c r="F7" s="5" t="s">
        <v>15</v>
      </c>
      <c r="G7" s="5">
        <v>16.0</v>
      </c>
      <c r="H7" s="6" t="s">
        <v>12</v>
      </c>
    </row>
    <row r="8" ht="22.5" customHeight="1">
      <c r="A8" s="1"/>
      <c r="B8" s="4" t="s">
        <v>16</v>
      </c>
      <c r="C8" s="5" t="s">
        <v>8</v>
      </c>
      <c r="D8" s="5" t="s">
        <v>9</v>
      </c>
      <c r="E8" s="5" t="s">
        <v>17</v>
      </c>
      <c r="F8" s="5" t="s">
        <v>18</v>
      </c>
      <c r="G8" s="5">
        <v>32.0</v>
      </c>
      <c r="H8" s="6" t="s">
        <v>12</v>
      </c>
    </row>
    <row r="9" ht="22.5" customHeight="1">
      <c r="A9" s="1"/>
      <c r="B9" s="7" t="s">
        <v>19</v>
      </c>
      <c r="C9" s="5" t="s">
        <v>8</v>
      </c>
      <c r="D9" s="5" t="s">
        <v>9</v>
      </c>
      <c r="E9" s="5" t="s">
        <v>20</v>
      </c>
      <c r="F9" s="5" t="s">
        <v>11</v>
      </c>
      <c r="G9" s="5">
        <v>30.0</v>
      </c>
      <c r="H9" s="6" t="s">
        <v>12</v>
      </c>
    </row>
    <row r="10" ht="22.5" customHeight="1">
      <c r="A10" s="1"/>
      <c r="B10" s="4" t="s">
        <v>21</v>
      </c>
      <c r="C10" s="5" t="s">
        <v>8</v>
      </c>
      <c r="D10" s="5" t="s">
        <v>9</v>
      </c>
      <c r="E10" s="5" t="s">
        <v>22</v>
      </c>
      <c r="F10" s="5" t="s">
        <v>18</v>
      </c>
      <c r="G10" s="5">
        <v>20.0</v>
      </c>
      <c r="H10" s="6" t="s">
        <v>12</v>
      </c>
    </row>
    <row r="11" ht="22.5" customHeight="1">
      <c r="A11" s="1"/>
      <c r="B11" s="7" t="s">
        <v>23</v>
      </c>
      <c r="C11" s="5" t="s">
        <v>8</v>
      </c>
      <c r="D11" s="5" t="s">
        <v>9</v>
      </c>
      <c r="E11" s="5" t="s">
        <v>24</v>
      </c>
      <c r="F11" s="5" t="s">
        <v>25</v>
      </c>
      <c r="G11" s="5">
        <v>18.0</v>
      </c>
      <c r="H11" s="6" t="s">
        <v>12</v>
      </c>
    </row>
    <row r="12" ht="22.5" customHeight="1">
      <c r="A12" s="1"/>
      <c r="B12" s="4" t="s">
        <v>26</v>
      </c>
      <c r="C12" s="5" t="s">
        <v>8</v>
      </c>
      <c r="D12" s="5" t="s">
        <v>9</v>
      </c>
      <c r="E12" s="5" t="s">
        <v>27</v>
      </c>
      <c r="F12" s="5" t="s">
        <v>15</v>
      </c>
      <c r="G12" s="5">
        <v>24.0</v>
      </c>
      <c r="H12" s="6" t="s">
        <v>12</v>
      </c>
    </row>
    <row r="13" ht="22.5" customHeight="1">
      <c r="A13" s="1"/>
      <c r="B13" s="7" t="s">
        <v>28</v>
      </c>
      <c r="C13" s="5" t="s">
        <v>8</v>
      </c>
      <c r="D13" s="5" t="s">
        <v>9</v>
      </c>
      <c r="E13" s="5" t="s">
        <v>29</v>
      </c>
      <c r="F13" s="5" t="s">
        <v>30</v>
      </c>
      <c r="G13" s="5">
        <v>12.0</v>
      </c>
      <c r="H13" s="6" t="s">
        <v>12</v>
      </c>
    </row>
    <row r="14" ht="22.5" customHeight="1">
      <c r="A14" s="1"/>
      <c r="B14" s="8"/>
      <c r="C14" s="8"/>
      <c r="D14" s="8"/>
      <c r="E14" s="8"/>
      <c r="F14" s="9" t="s">
        <v>31</v>
      </c>
      <c r="G14" s="9">
        <f>SUM(G6:G13)</f>
        <v>176</v>
      </c>
      <c r="H14" s="10" t="s">
        <v>12</v>
      </c>
    </row>
    <row r="15">
      <c r="A15" s="1"/>
      <c r="B15" s="1"/>
      <c r="C15" s="1"/>
      <c r="D15" s="1"/>
      <c r="E15" s="1"/>
      <c r="F15" s="1"/>
      <c r="G15" s="1"/>
      <c r="H15" s="1"/>
      <c r="I15" s="11"/>
    </row>
    <row r="16" ht="22.5" customHeight="1">
      <c r="A16" s="1"/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s="2" t="s">
        <v>6</v>
      </c>
      <c r="I16" s="12"/>
      <c r="J16" s="12"/>
    </row>
    <row r="17" ht="22.5" customHeight="1">
      <c r="A17" s="1"/>
      <c r="B17" s="13" t="s">
        <v>32</v>
      </c>
      <c r="C17" s="5" t="s">
        <v>33</v>
      </c>
      <c r="D17" s="5" t="s">
        <v>34</v>
      </c>
      <c r="E17" s="5" t="s">
        <v>35</v>
      </c>
      <c r="F17" s="5" t="s">
        <v>25</v>
      </c>
      <c r="G17" s="5">
        <v>20.0</v>
      </c>
      <c r="H17" s="6" t="s">
        <v>12</v>
      </c>
      <c r="I17" s="11"/>
      <c r="J17" s="11"/>
    </row>
    <row r="18" ht="22.5" customHeight="1">
      <c r="A18" s="1"/>
      <c r="B18" s="14" t="s">
        <v>36</v>
      </c>
      <c r="C18" s="5" t="s">
        <v>33</v>
      </c>
      <c r="D18" s="5" t="s">
        <v>34</v>
      </c>
      <c r="E18" s="5" t="s">
        <v>37</v>
      </c>
      <c r="F18" s="5" t="s">
        <v>38</v>
      </c>
      <c r="G18" s="5">
        <v>10.0</v>
      </c>
      <c r="H18" s="6" t="s">
        <v>12</v>
      </c>
      <c r="I18" s="11"/>
      <c r="J18" s="11"/>
    </row>
    <row r="19" ht="22.5" customHeight="1">
      <c r="A19" s="1"/>
      <c r="B19" s="13" t="s">
        <v>39</v>
      </c>
      <c r="C19" s="5" t="s">
        <v>40</v>
      </c>
      <c r="D19" s="5" t="s">
        <v>41</v>
      </c>
      <c r="E19" s="5" t="s">
        <v>42</v>
      </c>
      <c r="F19" s="5" t="s">
        <v>11</v>
      </c>
      <c r="G19" s="5">
        <v>30.0</v>
      </c>
      <c r="H19" s="6" t="s">
        <v>12</v>
      </c>
      <c r="I19" s="11"/>
      <c r="J19" s="11"/>
    </row>
    <row r="20" ht="22.5" customHeight="1">
      <c r="B20" s="14" t="s">
        <v>43</v>
      </c>
      <c r="C20" s="5" t="s">
        <v>40</v>
      </c>
      <c r="D20" s="5" t="s">
        <v>41</v>
      </c>
      <c r="E20" s="5" t="s">
        <v>44</v>
      </c>
      <c r="F20" s="5" t="s">
        <v>45</v>
      </c>
      <c r="G20" s="5">
        <v>16.0</v>
      </c>
      <c r="H20" s="6" t="s">
        <v>12</v>
      </c>
      <c r="I20" s="11"/>
      <c r="J20" s="11"/>
    </row>
    <row r="21" ht="22.5" customHeight="1">
      <c r="B21" s="13" t="s">
        <v>46</v>
      </c>
      <c r="C21" s="5" t="s">
        <v>47</v>
      </c>
      <c r="D21" s="5" t="s">
        <v>48</v>
      </c>
      <c r="E21" s="5" t="s">
        <v>49</v>
      </c>
      <c r="F21" s="5" t="s">
        <v>11</v>
      </c>
      <c r="G21" s="5">
        <v>26.0</v>
      </c>
      <c r="H21" s="6" t="s">
        <v>12</v>
      </c>
      <c r="I21" s="11"/>
      <c r="J21" s="11"/>
    </row>
    <row r="22" ht="22.5" customHeight="1">
      <c r="B22" s="14" t="s">
        <v>50</v>
      </c>
      <c r="C22" s="5" t="s">
        <v>47</v>
      </c>
      <c r="D22" s="5" t="s">
        <v>48</v>
      </c>
      <c r="E22" s="5" t="s">
        <v>51</v>
      </c>
      <c r="F22" s="5" t="s">
        <v>45</v>
      </c>
      <c r="G22" s="5">
        <v>16.0</v>
      </c>
      <c r="H22" s="6" t="s">
        <v>12</v>
      </c>
      <c r="I22" s="11"/>
      <c r="J22" s="11"/>
    </row>
    <row r="23" ht="22.5" customHeight="1">
      <c r="B23" s="13" t="s">
        <v>52</v>
      </c>
      <c r="C23" s="5" t="s">
        <v>53</v>
      </c>
      <c r="D23" s="5" t="s">
        <v>54</v>
      </c>
      <c r="E23" s="5" t="s">
        <v>55</v>
      </c>
      <c r="F23" s="5" t="s">
        <v>11</v>
      </c>
      <c r="G23" s="5">
        <v>30.0</v>
      </c>
      <c r="H23" s="6" t="s">
        <v>12</v>
      </c>
      <c r="I23" s="11"/>
      <c r="J23" s="11"/>
    </row>
    <row r="24" ht="22.5" customHeight="1">
      <c r="B24" s="14" t="s">
        <v>56</v>
      </c>
      <c r="C24" s="5" t="s">
        <v>53</v>
      </c>
      <c r="D24" s="5" t="s">
        <v>54</v>
      </c>
      <c r="E24" s="5" t="s">
        <v>57</v>
      </c>
      <c r="F24" s="5" t="s">
        <v>11</v>
      </c>
      <c r="G24" s="5">
        <v>34.0</v>
      </c>
      <c r="H24" s="6" t="s">
        <v>12</v>
      </c>
      <c r="I24" s="11"/>
      <c r="J24" s="11"/>
    </row>
    <row r="25" ht="22.5" customHeight="1">
      <c r="B25" s="14" t="s">
        <v>58</v>
      </c>
      <c r="C25" s="5" t="s">
        <v>59</v>
      </c>
      <c r="D25" s="5" t="s">
        <v>60</v>
      </c>
      <c r="E25" s="5" t="s">
        <v>61</v>
      </c>
      <c r="F25" s="5" t="s">
        <v>18</v>
      </c>
      <c r="G25" s="5">
        <v>12.0</v>
      </c>
      <c r="H25" s="6" t="s">
        <v>12</v>
      </c>
    </row>
    <row r="26" ht="22.5" customHeight="1">
      <c r="B26" s="14" t="s">
        <v>62</v>
      </c>
      <c r="C26" s="5" t="s">
        <v>63</v>
      </c>
      <c r="D26" s="5" t="s">
        <v>64</v>
      </c>
      <c r="E26" s="5" t="s">
        <v>65</v>
      </c>
      <c r="F26" s="5" t="s">
        <v>11</v>
      </c>
      <c r="G26" s="5">
        <v>26.0</v>
      </c>
      <c r="H26" s="15" t="s">
        <v>12</v>
      </c>
      <c r="I26" s="11"/>
    </row>
    <row r="27" ht="22.5" customHeight="1">
      <c r="B27" s="8"/>
      <c r="C27" s="8"/>
      <c r="D27" s="8"/>
      <c r="E27" s="8"/>
      <c r="F27" s="9" t="s">
        <v>31</v>
      </c>
      <c r="G27" s="9">
        <f>SUM(G17:G26)</f>
        <v>220</v>
      </c>
      <c r="H27" s="10" t="s">
        <v>12</v>
      </c>
      <c r="I27" s="12"/>
      <c r="J27" s="12"/>
    </row>
    <row r="28">
      <c r="B28" s="1"/>
      <c r="C28" s="1"/>
      <c r="D28" s="1"/>
      <c r="E28" s="1"/>
      <c r="F28" s="1"/>
      <c r="G28" s="1"/>
      <c r="H28" s="1"/>
      <c r="I28" s="11"/>
      <c r="J28" s="11"/>
    </row>
    <row r="29" ht="22.5" customHeight="1"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11"/>
      <c r="J29" s="11"/>
    </row>
    <row r="30" ht="22.5" customHeight="1">
      <c r="B30" s="13" t="s">
        <v>66</v>
      </c>
      <c r="C30" s="5" t="s">
        <v>67</v>
      </c>
      <c r="D30" s="5" t="s">
        <v>68</v>
      </c>
      <c r="E30" s="5" t="s">
        <v>69</v>
      </c>
      <c r="F30" s="5" t="s">
        <v>11</v>
      </c>
      <c r="G30" s="5">
        <v>24.0</v>
      </c>
      <c r="H30" s="6" t="s">
        <v>12</v>
      </c>
      <c r="I30" s="11"/>
      <c r="J30" s="11"/>
    </row>
    <row r="31" ht="22.5" customHeight="1">
      <c r="B31" s="14" t="s">
        <v>70</v>
      </c>
      <c r="C31" s="5" t="s">
        <v>67</v>
      </c>
      <c r="D31" s="5" t="s">
        <v>68</v>
      </c>
      <c r="E31" s="5" t="s">
        <v>71</v>
      </c>
      <c r="F31" s="5" t="s">
        <v>11</v>
      </c>
      <c r="G31" s="5">
        <v>20.0</v>
      </c>
      <c r="H31" s="6" t="s">
        <v>12</v>
      </c>
      <c r="I31" s="11"/>
      <c r="J31" s="11"/>
    </row>
    <row r="32" ht="22.5" customHeight="1">
      <c r="B32" s="13" t="s">
        <v>72</v>
      </c>
      <c r="C32" s="5" t="s">
        <v>73</v>
      </c>
      <c r="D32" s="5" t="s">
        <v>74</v>
      </c>
      <c r="E32" s="5" t="s">
        <v>75</v>
      </c>
      <c r="F32" s="5" t="s">
        <v>76</v>
      </c>
      <c r="G32" s="5">
        <v>14.0</v>
      </c>
      <c r="H32" s="6" t="s">
        <v>12</v>
      </c>
      <c r="I32" s="11"/>
      <c r="J32" s="11"/>
    </row>
    <row r="33" ht="22.5" customHeight="1">
      <c r="B33" s="14" t="s">
        <v>77</v>
      </c>
      <c r="C33" s="5" t="s">
        <v>73</v>
      </c>
      <c r="D33" s="5" t="s">
        <v>74</v>
      </c>
      <c r="E33" s="5" t="s">
        <v>78</v>
      </c>
      <c r="F33" s="5" t="s">
        <v>76</v>
      </c>
      <c r="G33" s="5">
        <v>36.0</v>
      </c>
      <c r="H33" s="6" t="s">
        <v>12</v>
      </c>
      <c r="I33" s="11"/>
      <c r="J33" s="11"/>
    </row>
    <row r="34" ht="22.5" customHeight="1">
      <c r="B34" s="13" t="s">
        <v>79</v>
      </c>
      <c r="C34" s="5" t="s">
        <v>73</v>
      </c>
      <c r="D34" s="5" t="s">
        <v>74</v>
      </c>
      <c r="E34" s="5" t="s">
        <v>80</v>
      </c>
      <c r="F34" s="5" t="s">
        <v>76</v>
      </c>
      <c r="G34" s="5">
        <v>16.0</v>
      </c>
      <c r="H34" s="6" t="s">
        <v>12</v>
      </c>
      <c r="I34" s="11"/>
      <c r="J34" s="11"/>
    </row>
    <row r="35" ht="22.5" customHeight="1">
      <c r="B35" s="14" t="s">
        <v>81</v>
      </c>
      <c r="C35" s="5" t="s">
        <v>82</v>
      </c>
      <c r="D35" s="5" t="s">
        <v>83</v>
      </c>
      <c r="E35" s="5" t="s">
        <v>84</v>
      </c>
      <c r="F35" s="5" t="s">
        <v>25</v>
      </c>
      <c r="G35" s="5">
        <v>14.0</v>
      </c>
      <c r="H35" s="6" t="s">
        <v>12</v>
      </c>
      <c r="I35" s="11"/>
      <c r="J35" s="11"/>
    </row>
    <row r="36" ht="22.5" customHeight="1">
      <c r="B36" s="13" t="s">
        <v>85</v>
      </c>
      <c r="C36" s="5" t="s">
        <v>82</v>
      </c>
      <c r="D36" s="5" t="s">
        <v>83</v>
      </c>
      <c r="E36" s="5" t="s">
        <v>86</v>
      </c>
      <c r="F36" s="5" t="s">
        <v>25</v>
      </c>
      <c r="G36" s="5">
        <v>10.0</v>
      </c>
      <c r="H36" s="6" t="s">
        <v>12</v>
      </c>
      <c r="I36" s="11"/>
      <c r="J36" s="11"/>
    </row>
    <row r="37" ht="22.5" customHeight="1">
      <c r="B37" s="14" t="s">
        <v>87</v>
      </c>
      <c r="C37" s="5" t="s">
        <v>88</v>
      </c>
      <c r="D37" s="5" t="s">
        <v>89</v>
      </c>
      <c r="E37" s="5" t="s">
        <v>90</v>
      </c>
      <c r="F37" s="5" t="s">
        <v>25</v>
      </c>
      <c r="G37" s="5">
        <v>10.0</v>
      </c>
      <c r="H37" s="6" t="s">
        <v>12</v>
      </c>
      <c r="I37" s="11"/>
      <c r="J37" s="11"/>
    </row>
    <row r="38" ht="22.5" customHeight="1">
      <c r="B38" s="13" t="s">
        <v>91</v>
      </c>
      <c r="C38" s="5" t="s">
        <v>88</v>
      </c>
      <c r="D38" s="5" t="s">
        <v>89</v>
      </c>
      <c r="E38" s="5" t="s">
        <v>92</v>
      </c>
      <c r="F38" s="5" t="s">
        <v>11</v>
      </c>
      <c r="G38" s="5">
        <v>10.0</v>
      </c>
      <c r="H38" s="6" t="s">
        <v>12</v>
      </c>
      <c r="I38" s="11"/>
      <c r="J38" s="11"/>
    </row>
    <row r="39" ht="22.5" customHeight="1">
      <c r="B39" s="14" t="s">
        <v>93</v>
      </c>
      <c r="C39" s="5" t="s">
        <v>94</v>
      </c>
      <c r="D39" s="5" t="s">
        <v>95</v>
      </c>
      <c r="E39" s="5" t="s">
        <v>96</v>
      </c>
      <c r="F39" s="5" t="s">
        <v>97</v>
      </c>
      <c r="G39" s="5">
        <v>16.0</v>
      </c>
      <c r="H39" s="6" t="s">
        <v>12</v>
      </c>
    </row>
    <row r="40" ht="22.5" customHeight="1">
      <c r="B40" s="13" t="s">
        <v>98</v>
      </c>
      <c r="C40" s="5" t="s">
        <v>94</v>
      </c>
      <c r="D40" s="5" t="s">
        <v>95</v>
      </c>
      <c r="E40" s="5" t="s">
        <v>99</v>
      </c>
      <c r="F40" s="5" t="s">
        <v>97</v>
      </c>
      <c r="G40" s="5">
        <v>26.0</v>
      </c>
      <c r="H40" s="6" t="s">
        <v>12</v>
      </c>
      <c r="J40" s="11"/>
    </row>
    <row r="41" ht="22.5" customHeight="1">
      <c r="B41" s="13" t="s">
        <v>100</v>
      </c>
      <c r="C41" s="5" t="s">
        <v>63</v>
      </c>
      <c r="D41" s="5" t="s">
        <v>64</v>
      </c>
      <c r="E41" s="5" t="s">
        <v>101</v>
      </c>
      <c r="F41" s="5" t="s">
        <v>11</v>
      </c>
      <c r="G41" s="5">
        <v>20.0</v>
      </c>
      <c r="H41" s="6" t="s">
        <v>12</v>
      </c>
      <c r="J41" s="12"/>
      <c r="K41" s="12"/>
    </row>
    <row r="42" ht="22.5" customHeight="1">
      <c r="B42" s="13" t="s">
        <v>102</v>
      </c>
      <c r="C42" s="5" t="s">
        <v>63</v>
      </c>
      <c r="D42" s="5" t="s">
        <v>64</v>
      </c>
      <c r="E42" s="5" t="s">
        <v>103</v>
      </c>
      <c r="F42" s="5" t="s">
        <v>76</v>
      </c>
      <c r="G42" s="5">
        <v>14.0</v>
      </c>
      <c r="H42" s="6" t="s">
        <v>12</v>
      </c>
      <c r="J42" s="11"/>
      <c r="K42" s="11"/>
    </row>
    <row r="43" ht="22.5" customHeight="1">
      <c r="B43" s="13" t="s">
        <v>104</v>
      </c>
      <c r="C43" s="5" t="s">
        <v>105</v>
      </c>
      <c r="D43" s="5" t="s">
        <v>106</v>
      </c>
      <c r="E43" s="5" t="s">
        <v>107</v>
      </c>
      <c r="F43" s="5" t="s">
        <v>25</v>
      </c>
      <c r="G43" s="5">
        <v>8.0</v>
      </c>
      <c r="H43" s="6" t="s">
        <v>12</v>
      </c>
      <c r="J43" s="11"/>
      <c r="K43" s="11"/>
    </row>
    <row r="44" ht="22.5" customHeight="1">
      <c r="B44" s="13" t="s">
        <v>108</v>
      </c>
      <c r="C44" s="5" t="s">
        <v>105</v>
      </c>
      <c r="D44" s="5" t="s">
        <v>106</v>
      </c>
      <c r="E44" s="5" t="s">
        <v>109</v>
      </c>
      <c r="F44" s="5" t="s">
        <v>76</v>
      </c>
      <c r="G44" s="5">
        <v>16.0</v>
      </c>
      <c r="H44" s="6" t="s">
        <v>12</v>
      </c>
      <c r="J44" s="11"/>
      <c r="K44" s="11"/>
    </row>
    <row r="45" ht="22.5" customHeight="1">
      <c r="B45" s="13" t="s">
        <v>110</v>
      </c>
      <c r="C45" s="5" t="s">
        <v>111</v>
      </c>
      <c r="D45" s="5" t="s">
        <v>112</v>
      </c>
      <c r="E45" s="5" t="s">
        <v>113</v>
      </c>
      <c r="F45" s="5" t="s">
        <v>11</v>
      </c>
      <c r="G45" s="5">
        <v>16.0</v>
      </c>
      <c r="H45" s="6" t="s">
        <v>12</v>
      </c>
      <c r="J45" s="11"/>
      <c r="K45" s="11"/>
    </row>
    <row r="46" ht="22.5" customHeight="1">
      <c r="B46" s="13" t="s">
        <v>114</v>
      </c>
      <c r="C46" s="5" t="s">
        <v>111</v>
      </c>
      <c r="D46" s="5" t="s">
        <v>112</v>
      </c>
      <c r="E46" s="5" t="s">
        <v>115</v>
      </c>
      <c r="F46" s="5" t="s">
        <v>11</v>
      </c>
      <c r="G46" s="5">
        <v>24.0</v>
      </c>
      <c r="H46" s="16" t="s">
        <v>12</v>
      </c>
      <c r="J46" s="11"/>
      <c r="K46" s="11"/>
    </row>
    <row r="47" ht="22.5" customHeight="1">
      <c r="B47" s="8"/>
      <c r="C47" s="8"/>
      <c r="D47" s="8"/>
      <c r="E47" s="8"/>
      <c r="F47" s="9" t="s">
        <v>31</v>
      </c>
      <c r="G47" s="9">
        <f>SUM(G30:G46)</f>
        <v>294</v>
      </c>
      <c r="H47" s="10" t="s">
        <v>12</v>
      </c>
      <c r="J47" s="11"/>
      <c r="K47" s="11"/>
    </row>
    <row r="48">
      <c r="J48" s="11"/>
      <c r="K48" s="11"/>
    </row>
    <row r="49" ht="22.5" customHeight="1">
      <c r="B49" s="17" t="s">
        <v>0</v>
      </c>
      <c r="C49" s="17" t="s">
        <v>1</v>
      </c>
      <c r="D49" s="17" t="s">
        <v>2</v>
      </c>
      <c r="E49" s="17" t="s">
        <v>3</v>
      </c>
      <c r="F49" s="17" t="s">
        <v>4</v>
      </c>
      <c r="G49" s="17" t="s">
        <v>5</v>
      </c>
      <c r="H49" s="17" t="s">
        <v>6</v>
      </c>
      <c r="J49" s="11"/>
      <c r="K49" s="11"/>
    </row>
    <row r="50" ht="22.5" customHeight="1">
      <c r="B50" s="14" t="s">
        <v>116</v>
      </c>
      <c r="C50" s="5" t="s">
        <v>117</v>
      </c>
      <c r="D50" s="5" t="s">
        <v>118</v>
      </c>
      <c r="E50" s="5" t="s">
        <v>119</v>
      </c>
      <c r="F50" s="5" t="s">
        <v>120</v>
      </c>
      <c r="G50" s="5">
        <v>16.0</v>
      </c>
      <c r="H50" s="6" t="s">
        <v>12</v>
      </c>
      <c r="J50" s="11"/>
      <c r="K50" s="11"/>
    </row>
    <row r="51" ht="22.5" customHeight="1">
      <c r="B51" s="13" t="s">
        <v>121</v>
      </c>
      <c r="C51" s="5" t="s">
        <v>117</v>
      </c>
      <c r="D51" s="5" t="s">
        <v>118</v>
      </c>
      <c r="E51" s="5" t="s">
        <v>122</v>
      </c>
      <c r="F51" s="5" t="s">
        <v>76</v>
      </c>
      <c r="G51" s="5">
        <v>10.0</v>
      </c>
      <c r="H51" s="6" t="s">
        <v>12</v>
      </c>
      <c r="J51" s="11"/>
      <c r="K51" s="11"/>
    </row>
    <row r="52" ht="22.5" customHeight="1">
      <c r="B52" s="14" t="s">
        <v>123</v>
      </c>
      <c r="C52" s="5" t="s">
        <v>124</v>
      </c>
      <c r="D52" s="5" t="s">
        <v>125</v>
      </c>
      <c r="E52" s="5" t="s">
        <v>126</v>
      </c>
      <c r="F52" s="5" t="s">
        <v>127</v>
      </c>
      <c r="G52" s="5">
        <v>30.0</v>
      </c>
      <c r="H52" s="6" t="s">
        <v>12</v>
      </c>
    </row>
    <row r="53" ht="22.5" customHeight="1">
      <c r="B53" s="13" t="s">
        <v>128</v>
      </c>
      <c r="C53" s="5" t="s">
        <v>124</v>
      </c>
      <c r="D53" s="5" t="s">
        <v>125</v>
      </c>
      <c r="E53" s="5" t="s">
        <v>129</v>
      </c>
      <c r="F53" s="5" t="s">
        <v>127</v>
      </c>
      <c r="G53" s="5">
        <v>20.0</v>
      </c>
      <c r="H53" s="6" t="s">
        <v>12</v>
      </c>
    </row>
    <row r="54" ht="22.5" customHeight="1">
      <c r="B54" s="14" t="s">
        <v>130</v>
      </c>
      <c r="C54" s="5" t="s">
        <v>131</v>
      </c>
      <c r="D54" s="5" t="s">
        <v>132</v>
      </c>
      <c r="E54" s="5" t="s">
        <v>133</v>
      </c>
      <c r="F54" s="5" t="s">
        <v>25</v>
      </c>
      <c r="G54" s="5">
        <v>20.0</v>
      </c>
      <c r="H54" s="6" t="s">
        <v>12</v>
      </c>
    </row>
    <row r="55" ht="22.5" customHeight="1">
      <c r="B55" s="13" t="s">
        <v>134</v>
      </c>
      <c r="C55" s="5" t="s">
        <v>131</v>
      </c>
      <c r="D55" s="5" t="s">
        <v>132</v>
      </c>
      <c r="E55" s="5" t="s">
        <v>135</v>
      </c>
      <c r="F55" s="5" t="s">
        <v>136</v>
      </c>
      <c r="G55" s="5">
        <v>16.0</v>
      </c>
      <c r="H55" s="6" t="s">
        <v>12</v>
      </c>
      <c r="J55" s="11"/>
    </row>
    <row r="56" ht="22.5" customHeight="1">
      <c r="B56" s="14" t="s">
        <v>137</v>
      </c>
      <c r="C56" s="5" t="s">
        <v>138</v>
      </c>
      <c r="D56" s="5" t="s">
        <v>139</v>
      </c>
      <c r="E56" s="5" t="s">
        <v>140</v>
      </c>
      <c r="F56" s="5" t="s">
        <v>97</v>
      </c>
      <c r="G56" s="5">
        <v>16.0</v>
      </c>
      <c r="H56" s="6" t="s">
        <v>12</v>
      </c>
      <c r="J56" s="12"/>
      <c r="K56" s="12"/>
      <c r="L56" s="12"/>
    </row>
    <row r="57" ht="22.5" customHeight="1">
      <c r="B57" s="13" t="s">
        <v>141</v>
      </c>
      <c r="C57" s="5" t="s">
        <v>138</v>
      </c>
      <c r="D57" s="5" t="s">
        <v>139</v>
      </c>
      <c r="E57" s="5" t="s">
        <v>142</v>
      </c>
      <c r="F57" s="5" t="s">
        <v>143</v>
      </c>
      <c r="G57" s="5">
        <v>10.0</v>
      </c>
      <c r="H57" s="6" t="s">
        <v>12</v>
      </c>
      <c r="J57" s="11"/>
      <c r="K57" s="11"/>
      <c r="L57" s="11"/>
    </row>
    <row r="58" ht="22.5" customHeight="1">
      <c r="B58" s="14" t="s">
        <v>144</v>
      </c>
      <c r="C58" s="5" t="s">
        <v>145</v>
      </c>
      <c r="D58" s="5" t="s">
        <v>146</v>
      </c>
      <c r="E58" s="5" t="s">
        <v>147</v>
      </c>
      <c r="F58" s="5" t="s">
        <v>97</v>
      </c>
      <c r="G58" s="5">
        <v>20.0</v>
      </c>
      <c r="H58" s="6" t="s">
        <v>12</v>
      </c>
      <c r="J58" s="11"/>
      <c r="K58" s="11"/>
      <c r="L58" s="11"/>
    </row>
    <row r="59" ht="22.5" customHeight="1">
      <c r="B59" s="14" t="s">
        <v>148</v>
      </c>
      <c r="C59" s="5" t="s">
        <v>105</v>
      </c>
      <c r="D59" s="5" t="s">
        <v>106</v>
      </c>
      <c r="E59" s="5" t="s">
        <v>149</v>
      </c>
      <c r="F59" s="5" t="s">
        <v>76</v>
      </c>
      <c r="G59" s="5">
        <v>14.0</v>
      </c>
      <c r="H59" s="6" t="s">
        <v>12</v>
      </c>
      <c r="J59" s="11"/>
      <c r="K59" s="11"/>
      <c r="L59" s="11"/>
    </row>
    <row r="60" ht="22.5" customHeight="1">
      <c r="B60" s="14" t="s">
        <v>150</v>
      </c>
      <c r="C60" s="5" t="s">
        <v>59</v>
      </c>
      <c r="D60" s="5" t="s">
        <v>60</v>
      </c>
      <c r="E60" s="5" t="s">
        <v>151</v>
      </c>
      <c r="F60" s="5" t="s">
        <v>11</v>
      </c>
      <c r="G60" s="5">
        <v>20.0</v>
      </c>
      <c r="H60" s="6" t="s">
        <v>12</v>
      </c>
      <c r="J60" s="11"/>
      <c r="K60" s="11"/>
      <c r="L60" s="11"/>
    </row>
    <row r="61" ht="22.5" customHeight="1">
      <c r="B61" s="14" t="s">
        <v>152</v>
      </c>
      <c r="C61" s="5" t="s">
        <v>59</v>
      </c>
      <c r="D61" s="5" t="s">
        <v>60</v>
      </c>
      <c r="E61" s="5" t="s">
        <v>153</v>
      </c>
      <c r="F61" s="5" t="s">
        <v>11</v>
      </c>
      <c r="G61" s="5">
        <v>20.0</v>
      </c>
      <c r="H61" s="6" t="s">
        <v>12</v>
      </c>
      <c r="J61" s="18"/>
    </row>
    <row r="62" ht="22.5" customHeight="1">
      <c r="B62" s="14" t="s">
        <v>154</v>
      </c>
      <c r="C62" s="5" t="s">
        <v>59</v>
      </c>
      <c r="D62" s="5" t="s">
        <v>60</v>
      </c>
      <c r="E62" s="5" t="s">
        <v>155</v>
      </c>
      <c r="F62" s="5" t="s">
        <v>156</v>
      </c>
      <c r="G62" s="5">
        <v>10.0</v>
      </c>
      <c r="H62" s="6" t="s">
        <v>12</v>
      </c>
    </row>
    <row r="63" ht="22.5" customHeight="1">
      <c r="B63" s="14" t="s">
        <v>157</v>
      </c>
      <c r="C63" s="5" t="s">
        <v>111</v>
      </c>
      <c r="D63" s="5" t="s">
        <v>112</v>
      </c>
      <c r="E63" s="5" t="s">
        <v>158</v>
      </c>
      <c r="F63" s="5" t="s">
        <v>136</v>
      </c>
      <c r="G63" s="5">
        <v>10.0</v>
      </c>
      <c r="H63" s="6" t="s">
        <v>12</v>
      </c>
    </row>
    <row r="64" ht="22.5" customHeight="1">
      <c r="B64" s="14" t="s">
        <v>159</v>
      </c>
      <c r="C64" s="5" t="s">
        <v>160</v>
      </c>
      <c r="D64" s="5" t="s">
        <v>161</v>
      </c>
      <c r="E64" s="5" t="s">
        <v>162</v>
      </c>
      <c r="F64" s="5" t="s">
        <v>11</v>
      </c>
      <c r="G64" s="5">
        <v>12.0</v>
      </c>
      <c r="H64" s="6" t="s">
        <v>12</v>
      </c>
    </row>
    <row r="65" ht="22.5" customHeight="1">
      <c r="B65" s="14" t="s">
        <v>163</v>
      </c>
      <c r="C65" s="5" t="s">
        <v>160</v>
      </c>
      <c r="D65" s="5" t="s">
        <v>161</v>
      </c>
      <c r="E65" s="5" t="s">
        <v>164</v>
      </c>
      <c r="F65" s="5" t="s">
        <v>136</v>
      </c>
      <c r="G65" s="5">
        <v>16.0</v>
      </c>
      <c r="H65" s="6" t="s">
        <v>12</v>
      </c>
    </row>
    <row r="66" ht="22.5" customHeight="1">
      <c r="B66" s="14" t="s">
        <v>165</v>
      </c>
      <c r="C66" s="5" t="s">
        <v>160</v>
      </c>
      <c r="D66" s="5" t="s">
        <v>161</v>
      </c>
      <c r="E66" s="5" t="s">
        <v>166</v>
      </c>
      <c r="F66" s="5" t="s">
        <v>11</v>
      </c>
      <c r="G66" s="5">
        <v>12.0</v>
      </c>
      <c r="H66" s="15" t="s">
        <v>12</v>
      </c>
    </row>
    <row r="67" ht="22.5" customHeight="1">
      <c r="B67" s="8"/>
      <c r="C67" s="8"/>
      <c r="D67" s="8"/>
      <c r="E67" s="8"/>
      <c r="F67" s="9" t="s">
        <v>31</v>
      </c>
      <c r="G67" s="9">
        <f>SUM(G50:G66)</f>
        <v>272</v>
      </c>
      <c r="H67" s="10" t="s">
        <v>12</v>
      </c>
      <c r="J67" s="18"/>
    </row>
    <row r="70">
      <c r="B70" s="1"/>
      <c r="C70" s="1"/>
      <c r="D70" s="1"/>
      <c r="E70" s="1"/>
      <c r="F70" s="1"/>
      <c r="G70" s="1"/>
      <c r="H70" s="1"/>
    </row>
    <row r="71" ht="22.5" customHeight="1">
      <c r="B71" s="2" t="s">
        <v>0</v>
      </c>
      <c r="C71" s="2" t="s">
        <v>1</v>
      </c>
      <c r="D71" s="2" t="s">
        <v>2</v>
      </c>
      <c r="E71" s="2" t="s">
        <v>3</v>
      </c>
      <c r="F71" s="2" t="s">
        <v>4</v>
      </c>
      <c r="G71" s="2" t="s">
        <v>5</v>
      </c>
      <c r="H71" s="2" t="s">
        <v>6</v>
      </c>
    </row>
    <row r="72" ht="22.5" customHeight="1">
      <c r="B72" s="4" t="s">
        <v>167</v>
      </c>
      <c r="C72" s="5" t="s">
        <v>168</v>
      </c>
      <c r="D72" s="5" t="s">
        <v>9</v>
      </c>
      <c r="E72" s="5" t="s">
        <v>169</v>
      </c>
      <c r="F72" s="5" t="s">
        <v>15</v>
      </c>
      <c r="G72" s="5">
        <v>40.0</v>
      </c>
      <c r="H72" s="6" t="s">
        <v>170</v>
      </c>
    </row>
    <row r="73" ht="22.5" customHeight="1">
      <c r="B73" s="4" t="s">
        <v>171</v>
      </c>
      <c r="C73" s="5" t="s">
        <v>168</v>
      </c>
      <c r="D73" s="5" t="s">
        <v>9</v>
      </c>
      <c r="E73" s="5" t="s">
        <v>172</v>
      </c>
      <c r="F73" s="5" t="s">
        <v>11</v>
      </c>
      <c r="G73" s="5">
        <v>32.0</v>
      </c>
      <c r="H73" s="6" t="s">
        <v>173</v>
      </c>
    </row>
    <row r="74" ht="22.5" customHeight="1">
      <c r="B74" s="4" t="s">
        <v>174</v>
      </c>
      <c r="C74" s="5" t="s">
        <v>168</v>
      </c>
      <c r="D74" s="5" t="s">
        <v>9</v>
      </c>
      <c r="E74" s="5" t="s">
        <v>175</v>
      </c>
      <c r="F74" s="5" t="s">
        <v>136</v>
      </c>
      <c r="G74" s="5">
        <v>20.0</v>
      </c>
      <c r="H74" s="6" t="s">
        <v>173</v>
      </c>
    </row>
    <row r="75" ht="22.5" customHeight="1">
      <c r="B75" s="4" t="s">
        <v>176</v>
      </c>
      <c r="C75" s="5" t="s">
        <v>168</v>
      </c>
      <c r="D75" s="5" t="s">
        <v>9</v>
      </c>
      <c r="E75" s="5" t="s">
        <v>177</v>
      </c>
      <c r="F75" s="5" t="s">
        <v>15</v>
      </c>
      <c r="G75" s="5">
        <v>24.0</v>
      </c>
      <c r="H75" s="6" t="s">
        <v>173</v>
      </c>
    </row>
    <row r="76" ht="22.5" customHeight="1">
      <c r="B76" s="4" t="s">
        <v>178</v>
      </c>
      <c r="C76" s="5" t="s">
        <v>168</v>
      </c>
      <c r="D76" s="5" t="s">
        <v>9</v>
      </c>
      <c r="E76" s="5" t="s">
        <v>179</v>
      </c>
      <c r="F76" s="5" t="s">
        <v>15</v>
      </c>
      <c r="G76" s="5">
        <v>16.0</v>
      </c>
      <c r="H76" s="6" t="s">
        <v>173</v>
      </c>
    </row>
    <row r="77" ht="22.5" customHeight="1">
      <c r="B77" s="8"/>
      <c r="C77" s="8"/>
      <c r="D77" s="8"/>
      <c r="E77" s="8"/>
      <c r="F77" s="9" t="s">
        <v>31</v>
      </c>
      <c r="G77" s="9">
        <f>SUM(G72:G76)</f>
        <v>132</v>
      </c>
      <c r="H77" s="10" t="s">
        <v>170</v>
      </c>
    </row>
  </sheetData>
  <dataValidations>
    <dataValidation type="list" allowBlank="1" sqref="H30:H47 H50:H67">
      <formula1>"Pendiente,En proceso,En validación,Terminado"</formula1>
    </dataValidation>
    <dataValidation type="list" allowBlank="1" sqref="H6:H14 H17:H27 H72:H77">
      <formula1>"Terminado,Pendiente,En validación,En proceso"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
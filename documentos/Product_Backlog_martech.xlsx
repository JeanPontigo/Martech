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Tareas técnicas" sheetId="2" r:id="rId6"/>
  </sheets>
  <definedNames/>
  <calcPr/>
</workbook>
</file>

<file path=xl/sharedStrings.xml><?xml version="1.0" encoding="utf-8"?>
<sst xmlns="http://schemas.openxmlformats.org/spreadsheetml/2006/main" count="467" uniqueCount="192">
  <si>
    <t>Product Backlog</t>
  </si>
  <si>
    <t>ID Backlog</t>
  </si>
  <si>
    <t>ID Tarea</t>
  </si>
  <si>
    <t>Backlog ID</t>
  </si>
  <si>
    <t>HU</t>
  </si>
  <si>
    <t>Tarea Técnica / Descripción</t>
  </si>
  <si>
    <t>Rol Asignado</t>
  </si>
  <si>
    <t>Sprint</t>
  </si>
  <si>
    <t>Est. HH (hrs)</t>
  </si>
  <si>
    <t>Estado</t>
  </si>
  <si>
    <t>T01-1</t>
  </si>
  <si>
    <t>Historia de Usuario</t>
  </si>
  <si>
    <t>Rol de la historia</t>
  </si>
  <si>
    <t>PB01</t>
  </si>
  <si>
    <t>HU-06</t>
  </si>
  <si>
    <t>Necesidad y objetivo de la historia</t>
  </si>
  <si>
    <t>Crear y configurar cuentas de servicio saccount en GCP IAM aplicando mínimo privilegio.</t>
  </si>
  <si>
    <t>Agrupación</t>
  </si>
  <si>
    <t>Cloud Engineer</t>
  </si>
  <si>
    <t>Prioridad</t>
  </si>
  <si>
    <t>Sprint 1</t>
  </si>
  <si>
    <t>Sprint points (sp)</t>
  </si>
  <si>
    <t>Terminado</t>
  </si>
  <si>
    <t>Usuario CI</t>
  </si>
  <si>
    <t>Gestionar cuentas, permisos y servicios desde IAM para asegurar compartimentación de información.</t>
  </si>
  <si>
    <t>Gobernanza, seguridad y accesos</t>
  </si>
  <si>
    <t>Alta</t>
  </si>
  <si>
    <t>T01-2</t>
  </si>
  <si>
    <t>Configurar políticas de tokens, expiración de claves y auditoría de accesos denegados.</t>
  </si>
  <si>
    <t>Security Admin</t>
  </si>
  <si>
    <t>PB02</t>
  </si>
  <si>
    <t>HU-04</t>
  </si>
  <si>
    <t>Configurar y aplicar políticas de Row Level Security (RLS) para asegurar la compartimentación de datos por tenant.</t>
  </si>
  <si>
    <t>T02-1</t>
  </si>
  <si>
    <t>PB03</t>
  </si>
  <si>
    <t>Definir e implementar políticas de Row Level Security (RLS) por tenant_id en tablas BigQuery.</t>
  </si>
  <si>
    <t>Data Engineer</t>
  </si>
  <si>
    <t>HU-05</t>
  </si>
  <si>
    <t>Configurar y aplicar reglas de Dynamic Data Masking (DDM) para asegurar confidencialidad de datos PII.</t>
  </si>
  <si>
    <t>T02-2</t>
  </si>
  <si>
    <t>Ejecutar pruebas de aislamiento de datos y simulación de accesos no autorizados entre tenants.</t>
  </si>
  <si>
    <t>QA / Security</t>
  </si>
  <si>
    <t>PB04</t>
  </si>
  <si>
    <t>HU-07</t>
  </si>
  <si>
    <t>Orquestador de pipeline</t>
  </si>
  <si>
    <t>Acceso a endpoints de Magento y fuentes de tenants para iniciar extracción incremental de datos.</t>
  </si>
  <si>
    <t>Ingesta, transformación y Carga</t>
  </si>
  <si>
    <t>T03-1</t>
  </si>
  <si>
    <t>PB05</t>
  </si>
  <si>
    <t>Crear Policy Tags de Dynamic Data Masking (DDM) para enmascarar RUT, email y teléfono.</t>
  </si>
  <si>
    <t>HU-09</t>
  </si>
  <si>
    <t>Aplicar formato, limpieza y transformaciones a datos crudos extraídos de forma automatizada.</t>
  </si>
  <si>
    <t>T03-2</t>
  </si>
  <si>
    <t>PB06</t>
  </si>
  <si>
    <t>Asignar rol Masked Reader y validar des-enmascaramiento seguro en logs de auditoría.</t>
  </si>
  <si>
    <t>HU-08</t>
  </si>
  <si>
    <t>Aplicar modelos SQL definidos para cada capa Medallion en dbt para calcular métricas de negocio.</t>
  </si>
  <si>
    <t>T04-1</t>
  </si>
  <si>
    <t>PB07</t>
  </si>
  <si>
    <t>Desarrollar script Python en Cloud Run Job para extracción incremental desde API Magento.</t>
  </si>
  <si>
    <t>HU-11</t>
  </si>
  <si>
    <t>Programar inicio autónomo de extracción, procesamiento y carga de datos de clientes MarTech.</t>
  </si>
  <si>
    <t>Orquestación, ops y calidad</t>
  </si>
  <si>
    <t>PB08</t>
  </si>
  <si>
    <t>HU-10</t>
  </si>
  <si>
    <t>Cliente de MarTech</t>
  </si>
  <si>
    <t>Acceder a datos procesados y métricas de negocio vía API externa de MarTech para implementación de datos.</t>
  </si>
  <si>
    <t>T04-2</t>
  </si>
  <si>
    <t>Baja</t>
  </si>
  <si>
    <t>Crear tabla pipeline_state para control de marcas de agua, reintentos e idempotencia.</t>
  </si>
  <si>
    <t>PB09</t>
  </si>
  <si>
    <t>HU-12</t>
  </si>
  <si>
    <t>Iniciar y configurar extracción, procesamiento y carga de forma manual para resolver errores o ajustes.</t>
  </si>
  <si>
    <t>Media</t>
  </si>
  <si>
    <t>T17-1</t>
  </si>
  <si>
    <t>PB17</t>
  </si>
  <si>
    <t>HU-17</t>
  </si>
  <si>
    <t>Definir procedimiento de alta y plantilla de configuración por tenant</t>
  </si>
  <si>
    <t>Data Architect</t>
  </si>
  <si>
    <t>T15-1</t>
  </si>
  <si>
    <t>PB15</t>
  </si>
  <si>
    <t>HU-15</t>
  </si>
  <si>
    <t>PB10</t>
  </si>
  <si>
    <t>Desarrollar pipeline de extracción Mailup con llamadas complementarias por mensaje</t>
  </si>
  <si>
    <t>HU-13</t>
  </si>
  <si>
    <t>Editar, eliminar o añadir modelos de análisis dbt en GitHub según necesidades de negocio.</t>
  </si>
  <si>
    <t>T05-1</t>
  </si>
  <si>
    <t>PB11</t>
  </si>
  <si>
    <t>Programar rutinas de limpieza, tipado de datos y estandarización para la capa Silver.</t>
  </si>
  <si>
    <t>HU-14</t>
  </si>
  <si>
    <t>Sprint 2</t>
  </si>
  <si>
    <t>Consultar resultados de automatización (Cloud Logging, pipeline_state) y trazabilidad post-transformación.</t>
  </si>
  <si>
    <t>T05-2</t>
  </si>
  <si>
    <t>PB12</t>
  </si>
  <si>
    <t>HU-01</t>
  </si>
  <si>
    <t>Implementar tabla de cuarentena para registros corruptos y lógica de deduplicación.</t>
  </si>
  <si>
    <t>Usuario de negocio</t>
  </si>
  <si>
    <t>Acceder a dashboard centralizado en Looker Studio mostrando métricas de negocio de la capa Gold.</t>
  </si>
  <si>
    <t>Visualización y negocio</t>
  </si>
  <si>
    <t>T06-1</t>
  </si>
  <si>
    <t>PB13</t>
  </si>
  <si>
    <t>HU-02</t>
  </si>
  <si>
    <t>Configurar entorno dbt Cloud, conexión con BigQuery y estructura del proyecto Medallion.</t>
  </si>
  <si>
    <t>Filtrar la información desplegada en el dashboard según Tenant para análisis personalizado.</t>
  </si>
  <si>
    <t>Analytics Engineer</t>
  </si>
  <si>
    <t>PB14</t>
  </si>
  <si>
    <t>HU-03</t>
  </si>
  <si>
    <t>T06-2</t>
  </si>
  <si>
    <t>Seleccionar de forma personalizada grupos de métricas, gráficos y rangos de tiempo en el tablero.</t>
  </si>
  <si>
    <t>Desarrollar modelos SQL para Staging, Silver y Gold (cálculo de KPIs de negocio).</t>
  </si>
  <si>
    <t>T06-3</t>
  </si>
  <si>
    <t>Implementar pruebas automatizadas en dbt (unique, not_null) para aserción de calidad.</t>
  </si>
  <si>
    <t>Extraer campañas de email marketing desde las plataformas de cada tenant para consolidar métricas de envío y apertura.</t>
  </si>
  <si>
    <t>T07-1</t>
  </si>
  <si>
    <t>Configurar Cloud Scheduler (cron) para el disparo autónomo diario del pipeline.</t>
  </si>
  <si>
    <t>T07-2</t>
  </si>
  <si>
    <t>PB16</t>
  </si>
  <si>
    <t>HU-16</t>
  </si>
  <si>
    <t>Definir secuencia de dependencias (Bronze $\rightarrow$ dbt) y alertas por interrupción.</t>
  </si>
  <si>
    <t>Incorporar los eventos de comportamiento web al modelo analítico para analizar la conversión y atribuir campañas.</t>
  </si>
  <si>
    <t>T09-1</t>
  </si>
  <si>
    <t>Habilitar disparador manual y paso de parámetros de rango de fechas en Cloud Run / dbt.</t>
  </si>
  <si>
    <t>Incorporar nuevos clientes a la plataforma reutilizando la arquitectura existente sin comprometer el aislamiento.</t>
  </si>
  <si>
    <t>PB18</t>
  </si>
  <si>
    <t>HU-18</t>
  </si>
  <si>
    <t>T09-2</t>
  </si>
  <si>
    <t>Recuperar el historial completo de datos de un tenant para habilitar análisis de tendencias y comparativas.</t>
  </si>
  <si>
    <t>PB19</t>
  </si>
  <si>
    <t>HU-19</t>
  </si>
  <si>
    <t>Probar ejecuciones ad-hoc manuales y mecanismos de cancelación controlada de jobs.</t>
  </si>
  <si>
    <t>Contrastar los volúmenes cargados contra la fuente de origen para garantizar fidelidad de los datos expuestos.</t>
  </si>
  <si>
    <t>T12-1</t>
  </si>
  <si>
    <t>Conectar Looker Studio con la capa Gold en BigQuery aplicando las reglas RLS/DDM.</t>
  </si>
  <si>
    <t>BI Developer</t>
  </si>
  <si>
    <t>T12-2</t>
  </si>
  <si>
    <t>Diseñar componentes visuales del dashboard (métricas de negocio y tablas de clientes).</t>
  </si>
  <si>
    <t>T15-2</t>
  </si>
  <si>
    <t>Desarrollar pipeline Fidelizador con ventana retroactiva y clasificación por keywords</t>
  </si>
  <si>
    <t>T15-3</t>
  </si>
  <si>
    <t>Desarrollar modelo de consolidación de campañas en Silver con deduplicación</t>
  </si>
  <si>
    <t>T16-1</t>
  </si>
  <si>
    <t>Habilitar y validar la exportación nativa de analítica web hacia el ambiente de datos</t>
  </si>
  <si>
    <t>T16-2</t>
  </si>
  <si>
    <t>Desarrollar modelo de eventos web en la capa Silver</t>
  </si>
  <si>
    <t>T18-1</t>
  </si>
  <si>
    <t>Implementar modo de carga histórica con troceo por bloques y reintento controlado</t>
  </si>
  <si>
    <t>T18-2</t>
  </si>
  <si>
    <t>Ejecutar y supervisar la carga histórica de cada tenant</t>
  </si>
  <si>
    <t>T10-1</t>
  </si>
  <si>
    <t>Configurar repositorio GitHub martechanalytics y pipeline CI/CD para modelos dbt.</t>
  </si>
  <si>
    <t>DevOps / CI</t>
  </si>
  <si>
    <t>Sprint 3</t>
  </si>
  <si>
    <t>T10-2</t>
  </si>
  <si>
    <t>Validar flujos de Pull Request, compilación automática y despliegue de modelos.</t>
  </si>
  <si>
    <t>T08-1</t>
  </si>
  <si>
    <t>Desarrollar endpoint REST en Cloud Run para exponer métricas procesadas en JSON.</t>
  </si>
  <si>
    <t>Backend Dev</t>
  </si>
  <si>
    <t>T08-2</t>
  </si>
  <si>
    <t>Configurar autenticación por tokens, control de tasa (throttling HTTP 429) y errores 401.</t>
  </si>
  <si>
    <t>T11-1</t>
  </si>
  <si>
    <t>Centralizar métricas de ejecución, tiempos y volúmenes en pipeline_state y Cloud Logging.</t>
  </si>
  <si>
    <t>T11-2</t>
  </si>
  <si>
    <t>Validar la trazabilidad del linaje de datos (DAG dbt) y alertas de inconsistencia de volumen.</t>
  </si>
  <si>
    <t>Data / QA</t>
  </si>
  <si>
    <t>T13-1</t>
  </si>
  <si>
    <t>Implementar control de filtro por Tenant en Looker Studio con recálculo dinámico.</t>
  </si>
  <si>
    <t>T13-2</t>
  </si>
  <si>
    <t>Evaluar la interacción entre el filtro interactivo del tablero y la política RLS subyacente.</t>
  </si>
  <si>
    <t>BI Developer / QA</t>
  </si>
  <si>
    <t>T14-1</t>
  </si>
  <si>
    <t>Incorporar selectores de rangos de fechas, comparativas temporales y tendencias.</t>
  </si>
  <si>
    <t>T14-2</t>
  </si>
  <si>
    <t>Configurar y validar la funcionalidad de exportación de informes a formato PDF y CSV.</t>
  </si>
  <si>
    <t>Eliminado</t>
  </si>
  <si>
    <t>T16-3</t>
  </si>
  <si>
    <t>Desarrollar modelos Gold de atribución entre campañas y comportamiento web</t>
  </si>
  <si>
    <t>T17-2</t>
  </si>
  <si>
    <t>Desplegar pipelines y vistas de preparación para el tenant AATN</t>
  </si>
  <si>
    <t>T17-3</t>
  </si>
  <si>
    <t>Desplegar pipelines y vistas de preparación para el tenant MC</t>
  </si>
  <si>
    <t>T17-4</t>
  </si>
  <si>
    <t>Validar aislamiento de datos y habilitar el tablero del nuevo tenant</t>
  </si>
  <si>
    <t>QA / BI Developer</t>
  </si>
  <si>
    <t>T18-3</t>
  </si>
  <si>
    <t>Validar integridad referencial del histórico consolidado</t>
  </si>
  <si>
    <t>T19-1</t>
  </si>
  <si>
    <t>Construir las consultas de contraste entre la plataforma y las fuentes de origen</t>
  </si>
  <si>
    <t>T19-2</t>
  </si>
  <si>
    <t>Ejecutar la auditoría por tenant y documentar las diferencias detectadas</t>
  </si>
  <si>
    <t>T19-3</t>
  </si>
  <si>
    <t>Corregir y reprocesar los períodos con discrepancia no explicada</t>
  </si>
  <si>
    <t>Total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</si>
</sst>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2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1F1F1F"/>
      <name val="Calibri"/>
    </font>
    <font>
      <color theme="1"/>
      <name val="Arial"/>
      <scheme val="minor"/>
    </font>
    <font>
      <b/>
      <sz val="11.0"/>
      <color rgb="FF1F1F1F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eas técnic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I22" displayName="Product_Backlog" name="Product_Backlog" id="1">
  <tableColumns count="8">
    <tableColumn name="ID Backlog" id="1"/>
    <tableColumn name="Historia de Usuario" id="2"/>
    <tableColumn name="Rol de la historia" id="3"/>
    <tableColumn name="Necesidad y objetivo de la historia" id="4"/>
    <tableColumn name="Agrupación" id="5"/>
    <tableColumn name="Prioridad" id="6"/>
    <tableColumn name="Sprint points (sp)" id="7"/>
    <tableColumn name="Estado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B3:I49" displayName="Tareas_Técnicas" name="Tareas_Técnicas" id="2">
  <tableColumns count="8">
    <tableColumn name="ID Tarea" id="1"/>
    <tableColumn name="Backlog ID" id="2"/>
    <tableColumn name="HU" id="3"/>
    <tableColumn name="Tarea Técnica / Descripción" id="4"/>
    <tableColumn name="Rol Asignado" id="5"/>
    <tableColumn name="Sprint" id="6"/>
    <tableColumn name="Est. HH (hrs)" id="7"/>
    <tableColumn name="Estado" id="8"/>
  </tableColumns>
  <tableStyleInfo name="Tareas técnic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1.0"/>
    <col customWidth="1" min="4" max="4" width="20.88"/>
    <col customWidth="1" min="5" max="5" width="55.5"/>
    <col customWidth="1" min="6" max="6" width="23.75"/>
    <col customWidth="1" min="8" max="8" width="17.38"/>
    <col customWidth="1" min="9" max="9" width="20.5"/>
  </cols>
  <sheetData>
    <row r="1">
      <c r="B1" s="1"/>
      <c r="C1" s="1" t="s">
        <v>0</v>
      </c>
    </row>
    <row r="3" ht="22.5" customHeight="1">
      <c r="B3" s="3" t="s">
        <v>1</v>
      </c>
      <c r="C3" s="3" t="s">
        <v>11</v>
      </c>
      <c r="D3" s="5" t="s">
        <v>12</v>
      </c>
      <c r="E3" s="5" t="s">
        <v>15</v>
      </c>
      <c r="F3" s="3" t="s">
        <v>17</v>
      </c>
      <c r="G3" s="3" t="s">
        <v>19</v>
      </c>
      <c r="H3" s="3" t="s">
        <v>21</v>
      </c>
      <c r="I3" s="3" t="s">
        <v>9</v>
      </c>
    </row>
    <row r="4" ht="22.5" customHeight="1">
      <c r="B4" s="8" t="s">
        <v>13</v>
      </c>
      <c r="C4" s="8" t="s">
        <v>14</v>
      </c>
      <c r="D4" s="10" t="s">
        <v>23</v>
      </c>
      <c r="E4" s="10" t="s">
        <v>24</v>
      </c>
      <c r="F4" s="10" t="s">
        <v>25</v>
      </c>
      <c r="G4" s="11" t="s">
        <v>26</v>
      </c>
      <c r="H4" s="8">
        <v>5.0</v>
      </c>
      <c r="I4" s="11" t="s">
        <v>22</v>
      </c>
    </row>
    <row r="5" ht="22.5" customHeight="1">
      <c r="B5" s="8" t="s">
        <v>30</v>
      </c>
      <c r="C5" s="8" t="s">
        <v>31</v>
      </c>
      <c r="D5" s="10" t="s">
        <v>23</v>
      </c>
      <c r="E5" s="10" t="s">
        <v>32</v>
      </c>
      <c r="F5" s="10" t="s">
        <v>25</v>
      </c>
      <c r="G5" s="11" t="s">
        <v>26</v>
      </c>
      <c r="H5" s="8">
        <v>8.0</v>
      </c>
      <c r="I5" s="11" t="s">
        <v>22</v>
      </c>
    </row>
    <row r="6" ht="22.5" customHeight="1">
      <c r="B6" s="8" t="s">
        <v>34</v>
      </c>
      <c r="C6" s="8" t="s">
        <v>37</v>
      </c>
      <c r="D6" s="10" t="s">
        <v>23</v>
      </c>
      <c r="E6" s="10" t="s">
        <v>38</v>
      </c>
      <c r="F6" s="10" t="s">
        <v>25</v>
      </c>
      <c r="G6" s="11" t="s">
        <v>26</v>
      </c>
      <c r="H6" s="8">
        <v>8.0</v>
      </c>
      <c r="I6" s="11" t="s">
        <v>22</v>
      </c>
    </row>
    <row r="7" ht="22.5" customHeight="1">
      <c r="B7" s="8" t="s">
        <v>42</v>
      </c>
      <c r="C7" s="8" t="s">
        <v>43</v>
      </c>
      <c r="D7" s="10" t="s">
        <v>44</v>
      </c>
      <c r="E7" s="10" t="s">
        <v>45</v>
      </c>
      <c r="F7" s="10" t="s">
        <v>46</v>
      </c>
      <c r="G7" s="11" t="s">
        <v>26</v>
      </c>
      <c r="H7" s="8">
        <v>8.0</v>
      </c>
      <c r="I7" s="11" t="s">
        <v>22</v>
      </c>
    </row>
    <row r="8" ht="22.5" customHeight="1">
      <c r="B8" s="8" t="s">
        <v>48</v>
      </c>
      <c r="C8" s="8" t="s">
        <v>50</v>
      </c>
      <c r="D8" s="10" t="s">
        <v>44</v>
      </c>
      <c r="E8" s="10" t="s">
        <v>51</v>
      </c>
      <c r="F8" s="10" t="s">
        <v>46</v>
      </c>
      <c r="G8" s="11" t="s">
        <v>26</v>
      </c>
      <c r="H8" s="8">
        <v>8.0</v>
      </c>
      <c r="I8" s="11" t="s">
        <v>22</v>
      </c>
    </row>
    <row r="9" ht="22.5" customHeight="1">
      <c r="B9" s="8" t="s">
        <v>53</v>
      </c>
      <c r="C9" s="8" t="s">
        <v>55</v>
      </c>
      <c r="D9" s="10" t="s">
        <v>44</v>
      </c>
      <c r="E9" s="10" t="s">
        <v>56</v>
      </c>
      <c r="F9" s="10" t="s">
        <v>46</v>
      </c>
      <c r="G9" s="11" t="s">
        <v>26</v>
      </c>
      <c r="H9" s="8">
        <v>8.0</v>
      </c>
      <c r="I9" s="11" t="s">
        <v>22</v>
      </c>
    </row>
    <row r="10" ht="22.5" customHeight="1">
      <c r="B10" s="8" t="s">
        <v>58</v>
      </c>
      <c r="C10" s="8" t="s">
        <v>60</v>
      </c>
      <c r="D10" s="10" t="s">
        <v>44</v>
      </c>
      <c r="E10" s="10" t="s">
        <v>61</v>
      </c>
      <c r="F10" s="10" t="s">
        <v>62</v>
      </c>
      <c r="G10" s="11" t="s">
        <v>26</v>
      </c>
      <c r="H10" s="8">
        <v>5.0</v>
      </c>
      <c r="I10" s="11" t="s">
        <v>22</v>
      </c>
    </row>
    <row r="11" ht="22.5" customHeight="1">
      <c r="B11" s="8" t="s">
        <v>63</v>
      </c>
      <c r="C11" s="8" t="s">
        <v>64</v>
      </c>
      <c r="D11" s="10" t="s">
        <v>65</v>
      </c>
      <c r="E11" s="10" t="s">
        <v>66</v>
      </c>
      <c r="F11" s="10" t="s">
        <v>46</v>
      </c>
      <c r="G11" s="11" t="s">
        <v>68</v>
      </c>
      <c r="H11" s="8">
        <v>8.0</v>
      </c>
      <c r="I11" s="11" t="s">
        <v>22</v>
      </c>
    </row>
    <row r="12" ht="22.5" customHeight="1">
      <c r="B12" s="8" t="s">
        <v>70</v>
      </c>
      <c r="C12" s="8" t="s">
        <v>71</v>
      </c>
      <c r="D12" s="10" t="s">
        <v>23</v>
      </c>
      <c r="E12" s="10" t="s">
        <v>72</v>
      </c>
      <c r="F12" s="10" t="s">
        <v>62</v>
      </c>
      <c r="G12" s="11" t="s">
        <v>73</v>
      </c>
      <c r="H12" s="8">
        <v>5.0</v>
      </c>
      <c r="I12" s="11" t="s">
        <v>22</v>
      </c>
    </row>
    <row r="13" ht="22.5" customHeight="1">
      <c r="B13" s="8" t="s">
        <v>82</v>
      </c>
      <c r="C13" s="8" t="s">
        <v>84</v>
      </c>
      <c r="D13" s="10" t="s">
        <v>23</v>
      </c>
      <c r="E13" s="10" t="s">
        <v>85</v>
      </c>
      <c r="F13" s="10" t="s">
        <v>62</v>
      </c>
      <c r="G13" s="11" t="s">
        <v>73</v>
      </c>
      <c r="H13" s="8">
        <v>5.0</v>
      </c>
      <c r="I13" s="11" t="s">
        <v>22</v>
      </c>
    </row>
    <row r="14" ht="22.5" customHeight="1">
      <c r="B14" s="8" t="s">
        <v>87</v>
      </c>
      <c r="C14" s="8" t="s">
        <v>89</v>
      </c>
      <c r="D14" s="10" t="s">
        <v>23</v>
      </c>
      <c r="E14" s="10" t="s">
        <v>91</v>
      </c>
      <c r="F14" s="10" t="s">
        <v>62</v>
      </c>
      <c r="G14" s="11" t="s">
        <v>73</v>
      </c>
      <c r="H14" s="8">
        <v>5.0</v>
      </c>
      <c r="I14" s="11" t="s">
        <v>22</v>
      </c>
    </row>
    <row r="15" ht="22.5" customHeight="1">
      <c r="B15" s="8" t="s">
        <v>93</v>
      </c>
      <c r="C15" s="8" t="s">
        <v>94</v>
      </c>
      <c r="D15" s="10" t="s">
        <v>96</v>
      </c>
      <c r="E15" s="10" t="s">
        <v>97</v>
      </c>
      <c r="F15" s="10" t="s">
        <v>98</v>
      </c>
      <c r="G15" s="11" t="s">
        <v>73</v>
      </c>
      <c r="H15" s="8">
        <v>8.0</v>
      </c>
      <c r="I15" s="11" t="s">
        <v>22</v>
      </c>
    </row>
    <row r="16" ht="22.5" customHeight="1">
      <c r="B16" s="8" t="s">
        <v>100</v>
      </c>
      <c r="C16" s="8" t="s">
        <v>101</v>
      </c>
      <c r="D16" s="10" t="s">
        <v>96</v>
      </c>
      <c r="E16" s="10" t="s">
        <v>103</v>
      </c>
      <c r="F16" s="10" t="s">
        <v>98</v>
      </c>
      <c r="G16" s="11" t="s">
        <v>73</v>
      </c>
      <c r="H16" s="8">
        <v>5.0</v>
      </c>
      <c r="I16" s="11" t="s">
        <v>22</v>
      </c>
    </row>
    <row r="17" ht="22.5" customHeight="1">
      <c r="B17" s="8" t="s">
        <v>105</v>
      </c>
      <c r="C17" s="8" t="s">
        <v>106</v>
      </c>
      <c r="D17" s="10" t="s">
        <v>96</v>
      </c>
      <c r="E17" s="10" t="s">
        <v>108</v>
      </c>
      <c r="F17" s="10" t="s">
        <v>98</v>
      </c>
      <c r="G17" s="11" t="s">
        <v>68</v>
      </c>
      <c r="H17" s="8">
        <v>5.0</v>
      </c>
      <c r="I17" s="11" t="s">
        <v>22</v>
      </c>
    </row>
    <row r="18" ht="22.5" customHeight="1">
      <c r="B18" s="8" t="s">
        <v>80</v>
      </c>
      <c r="C18" s="8" t="s">
        <v>81</v>
      </c>
      <c r="D18" s="10" t="s">
        <v>44</v>
      </c>
      <c r="E18" s="10" t="s">
        <v>112</v>
      </c>
      <c r="F18" s="10" t="s">
        <v>46</v>
      </c>
      <c r="G18" s="13" t="s">
        <v>26</v>
      </c>
      <c r="H18" s="8">
        <v>13.0</v>
      </c>
      <c r="I18" s="13" t="s">
        <v>22</v>
      </c>
    </row>
    <row r="19" ht="22.5" customHeight="1">
      <c r="B19" s="8" t="s">
        <v>116</v>
      </c>
      <c r="C19" s="8" t="s">
        <v>117</v>
      </c>
      <c r="D19" s="10" t="s">
        <v>96</v>
      </c>
      <c r="E19" s="10" t="s">
        <v>119</v>
      </c>
      <c r="F19" s="10" t="s">
        <v>46</v>
      </c>
      <c r="G19" s="13" t="s">
        <v>73</v>
      </c>
      <c r="H19" s="8">
        <v>8.0</v>
      </c>
      <c r="I19" s="11" t="s">
        <v>22</v>
      </c>
    </row>
    <row r="20" ht="22.5" customHeight="1">
      <c r="B20" s="8" t="s">
        <v>75</v>
      </c>
      <c r="C20" s="8" t="s">
        <v>76</v>
      </c>
      <c r="D20" s="10" t="s">
        <v>23</v>
      </c>
      <c r="E20" s="10" t="s">
        <v>122</v>
      </c>
      <c r="F20" s="10" t="s">
        <v>25</v>
      </c>
      <c r="G20" s="13" t="s">
        <v>26</v>
      </c>
      <c r="H20" s="8">
        <v>13.0</v>
      </c>
      <c r="I20" s="13" t="s">
        <v>22</v>
      </c>
    </row>
    <row r="21" ht="22.5" customHeight="1">
      <c r="B21" s="8" t="s">
        <v>123</v>
      </c>
      <c r="C21" s="8" t="s">
        <v>124</v>
      </c>
      <c r="D21" s="10" t="s">
        <v>23</v>
      </c>
      <c r="E21" s="10" t="s">
        <v>126</v>
      </c>
      <c r="F21" s="10" t="s">
        <v>46</v>
      </c>
      <c r="G21" s="13" t="s">
        <v>73</v>
      </c>
      <c r="H21" s="8">
        <v>13.0</v>
      </c>
      <c r="I21" s="13" t="s">
        <v>22</v>
      </c>
    </row>
    <row r="22" ht="22.5" customHeight="1">
      <c r="B22" s="8" t="s">
        <v>127</v>
      </c>
      <c r="C22" s="8" t="s">
        <v>128</v>
      </c>
      <c r="D22" s="10" t="s">
        <v>23</v>
      </c>
      <c r="E22" s="10" t="s">
        <v>130</v>
      </c>
      <c r="F22" s="10" t="s">
        <v>62</v>
      </c>
      <c r="G22" s="13" t="s">
        <v>26</v>
      </c>
      <c r="H22" s="8">
        <v>8.0</v>
      </c>
      <c r="I22" s="11" t="s">
        <v>22</v>
      </c>
    </row>
  </sheetData>
  <dataValidations>
    <dataValidation type="list" allowBlank="1" sqref="I4:I22">
      <formula1>"Pendiente,En proceso,En validación,Terminado"</formula1>
    </dataValidation>
    <dataValidation type="list" allowBlank="1" sqref="G4:G22">
      <formula1>"Alta,Media,Baja"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5" max="5" width="37.63"/>
    <col customWidth="1" min="6" max="6" width="16.25"/>
    <col customWidth="1" min="7" max="7" width="13.25"/>
    <col customWidth="1" min="8" max="8" width="15.25"/>
    <col customWidth="1" min="9" max="9" width="14.0"/>
  </cols>
  <sheetData>
    <row r="3" ht="22.5" customHeight="1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2.5" customHeight="1">
      <c r="B4" s="4" t="s">
        <v>10</v>
      </c>
      <c r="C4" s="4" t="s">
        <v>13</v>
      </c>
      <c r="D4" s="4" t="s">
        <v>14</v>
      </c>
      <c r="E4" s="4" t="s">
        <v>16</v>
      </c>
      <c r="F4" s="4" t="s">
        <v>18</v>
      </c>
      <c r="G4" s="6" t="s">
        <v>20</v>
      </c>
      <c r="H4" s="7">
        <v>20.0</v>
      </c>
      <c r="I4" s="9" t="s">
        <v>22</v>
      </c>
    </row>
    <row r="5" ht="22.5" customHeight="1">
      <c r="B5" s="4" t="s">
        <v>27</v>
      </c>
      <c r="C5" s="4" t="s">
        <v>13</v>
      </c>
      <c r="D5" s="4" t="s">
        <v>14</v>
      </c>
      <c r="E5" s="4" t="s">
        <v>28</v>
      </c>
      <c r="F5" s="4" t="s">
        <v>29</v>
      </c>
      <c r="G5" s="6" t="s">
        <v>20</v>
      </c>
      <c r="H5" s="7">
        <v>10.0</v>
      </c>
      <c r="I5" s="9" t="s">
        <v>22</v>
      </c>
    </row>
    <row r="6" ht="22.5" customHeight="1">
      <c r="B6" s="4" t="s">
        <v>33</v>
      </c>
      <c r="C6" s="4" t="s">
        <v>30</v>
      </c>
      <c r="D6" s="4" t="s">
        <v>31</v>
      </c>
      <c r="E6" s="4" t="s">
        <v>35</v>
      </c>
      <c r="F6" s="4" t="s">
        <v>36</v>
      </c>
      <c r="G6" s="6" t="s">
        <v>20</v>
      </c>
      <c r="H6" s="7">
        <v>30.0</v>
      </c>
      <c r="I6" s="9" t="s">
        <v>22</v>
      </c>
    </row>
    <row r="7" ht="22.5" customHeight="1">
      <c r="B7" s="4" t="s">
        <v>39</v>
      </c>
      <c r="C7" s="4" t="s">
        <v>30</v>
      </c>
      <c r="D7" s="4" t="s">
        <v>31</v>
      </c>
      <c r="E7" s="4" t="s">
        <v>40</v>
      </c>
      <c r="F7" s="4" t="s">
        <v>41</v>
      </c>
      <c r="G7" s="6" t="s">
        <v>20</v>
      </c>
      <c r="H7" s="7">
        <v>16.0</v>
      </c>
      <c r="I7" s="9" t="s">
        <v>22</v>
      </c>
    </row>
    <row r="8" ht="22.5" customHeight="1">
      <c r="B8" s="4" t="s">
        <v>47</v>
      </c>
      <c r="C8" s="4" t="s">
        <v>34</v>
      </c>
      <c r="D8" s="4" t="s">
        <v>37</v>
      </c>
      <c r="E8" s="4" t="s">
        <v>49</v>
      </c>
      <c r="F8" s="4" t="s">
        <v>36</v>
      </c>
      <c r="G8" s="6" t="s">
        <v>20</v>
      </c>
      <c r="H8" s="7">
        <v>26.0</v>
      </c>
      <c r="I8" s="9" t="s">
        <v>22</v>
      </c>
    </row>
    <row r="9" ht="22.5" customHeight="1">
      <c r="B9" s="4" t="s">
        <v>52</v>
      </c>
      <c r="C9" s="4" t="s">
        <v>34</v>
      </c>
      <c r="D9" s="4" t="s">
        <v>37</v>
      </c>
      <c r="E9" s="4" t="s">
        <v>54</v>
      </c>
      <c r="F9" s="4" t="s">
        <v>41</v>
      </c>
      <c r="G9" s="6" t="s">
        <v>20</v>
      </c>
      <c r="H9" s="7">
        <v>16.0</v>
      </c>
      <c r="I9" s="9" t="s">
        <v>22</v>
      </c>
    </row>
    <row r="10" ht="22.5" customHeight="1">
      <c r="B10" s="4" t="s">
        <v>57</v>
      </c>
      <c r="C10" s="4" t="s">
        <v>42</v>
      </c>
      <c r="D10" s="4" t="s">
        <v>43</v>
      </c>
      <c r="E10" s="4" t="s">
        <v>59</v>
      </c>
      <c r="F10" s="4" t="s">
        <v>36</v>
      </c>
      <c r="G10" s="6" t="s">
        <v>20</v>
      </c>
      <c r="H10" s="7">
        <v>30.0</v>
      </c>
      <c r="I10" s="9" t="s">
        <v>22</v>
      </c>
    </row>
    <row r="11" ht="22.5" customHeight="1">
      <c r="B11" s="4" t="s">
        <v>67</v>
      </c>
      <c r="C11" s="4" t="s">
        <v>42</v>
      </c>
      <c r="D11" s="4" t="s">
        <v>43</v>
      </c>
      <c r="E11" s="4" t="s">
        <v>69</v>
      </c>
      <c r="F11" s="4" t="s">
        <v>36</v>
      </c>
      <c r="G11" s="6" t="s">
        <v>20</v>
      </c>
      <c r="H11" s="7">
        <v>34.0</v>
      </c>
      <c r="I11" s="9" t="s">
        <v>22</v>
      </c>
    </row>
    <row r="12" ht="22.5" customHeight="1">
      <c r="B12" s="12" t="s">
        <v>74</v>
      </c>
      <c r="C12" s="12" t="s">
        <v>75</v>
      </c>
      <c r="D12" s="12" t="s">
        <v>76</v>
      </c>
      <c r="E12" s="12" t="s">
        <v>77</v>
      </c>
      <c r="F12" s="12" t="s">
        <v>78</v>
      </c>
      <c r="G12" s="6" t="s">
        <v>20</v>
      </c>
      <c r="H12" s="7">
        <v>12.0</v>
      </c>
      <c r="I12" s="9" t="s">
        <v>22</v>
      </c>
    </row>
    <row r="13" ht="22.5" customHeight="1">
      <c r="B13" s="12" t="s">
        <v>79</v>
      </c>
      <c r="C13" s="12" t="s">
        <v>80</v>
      </c>
      <c r="D13" s="12" t="s">
        <v>81</v>
      </c>
      <c r="E13" s="12" t="s">
        <v>83</v>
      </c>
      <c r="F13" s="12" t="s">
        <v>36</v>
      </c>
      <c r="G13" s="6" t="s">
        <v>20</v>
      </c>
      <c r="H13" s="7">
        <v>26.0</v>
      </c>
      <c r="I13" s="9" t="s">
        <v>22</v>
      </c>
    </row>
    <row r="14" ht="22.5" customHeight="1">
      <c r="B14" s="4" t="s">
        <v>86</v>
      </c>
      <c r="C14" s="4" t="s">
        <v>48</v>
      </c>
      <c r="D14" s="4" t="s">
        <v>50</v>
      </c>
      <c r="E14" s="4" t="s">
        <v>88</v>
      </c>
      <c r="F14" s="4" t="s">
        <v>36</v>
      </c>
      <c r="G14" s="6" t="s">
        <v>90</v>
      </c>
      <c r="H14" s="7">
        <v>24.0</v>
      </c>
      <c r="I14" s="9" t="s">
        <v>22</v>
      </c>
    </row>
    <row r="15" ht="22.5" customHeight="1">
      <c r="B15" s="4" t="s">
        <v>92</v>
      </c>
      <c r="C15" s="4" t="s">
        <v>48</v>
      </c>
      <c r="D15" s="4" t="s">
        <v>50</v>
      </c>
      <c r="E15" s="4" t="s">
        <v>95</v>
      </c>
      <c r="F15" s="4" t="s">
        <v>36</v>
      </c>
      <c r="G15" s="6" t="s">
        <v>90</v>
      </c>
      <c r="H15" s="7">
        <v>20.0</v>
      </c>
      <c r="I15" s="9" t="s">
        <v>22</v>
      </c>
    </row>
    <row r="16" ht="22.5" customHeight="1">
      <c r="B16" s="4" t="s">
        <v>99</v>
      </c>
      <c r="C16" s="4" t="s">
        <v>53</v>
      </c>
      <c r="D16" s="4" t="s">
        <v>55</v>
      </c>
      <c r="E16" s="4" t="s">
        <v>102</v>
      </c>
      <c r="F16" s="4" t="s">
        <v>104</v>
      </c>
      <c r="G16" s="6" t="s">
        <v>90</v>
      </c>
      <c r="H16" s="7">
        <v>14.0</v>
      </c>
      <c r="I16" s="9" t="s">
        <v>22</v>
      </c>
    </row>
    <row r="17" ht="22.5" customHeight="1">
      <c r="B17" s="4" t="s">
        <v>107</v>
      </c>
      <c r="C17" s="4" t="s">
        <v>53</v>
      </c>
      <c r="D17" s="4" t="s">
        <v>55</v>
      </c>
      <c r="E17" s="4" t="s">
        <v>109</v>
      </c>
      <c r="F17" s="4" t="s">
        <v>104</v>
      </c>
      <c r="G17" s="6" t="s">
        <v>90</v>
      </c>
      <c r="H17" s="7">
        <v>36.0</v>
      </c>
      <c r="I17" s="9" t="s">
        <v>22</v>
      </c>
    </row>
    <row r="18" ht="22.5" customHeight="1">
      <c r="B18" s="4" t="s">
        <v>110</v>
      </c>
      <c r="C18" s="4" t="s">
        <v>53</v>
      </c>
      <c r="D18" s="4" t="s">
        <v>55</v>
      </c>
      <c r="E18" s="4" t="s">
        <v>111</v>
      </c>
      <c r="F18" s="4" t="s">
        <v>104</v>
      </c>
      <c r="G18" s="6" t="s">
        <v>90</v>
      </c>
      <c r="H18" s="7">
        <v>16.0</v>
      </c>
      <c r="I18" s="9" t="s">
        <v>22</v>
      </c>
    </row>
    <row r="19" ht="22.5" customHeight="1">
      <c r="B19" s="4" t="s">
        <v>113</v>
      </c>
      <c r="C19" s="4" t="s">
        <v>58</v>
      </c>
      <c r="D19" s="4" t="s">
        <v>60</v>
      </c>
      <c r="E19" s="4" t="s">
        <v>114</v>
      </c>
      <c r="F19" s="4" t="s">
        <v>18</v>
      </c>
      <c r="G19" s="6" t="s">
        <v>90</v>
      </c>
      <c r="H19" s="7">
        <v>14.0</v>
      </c>
      <c r="I19" s="9" t="s">
        <v>22</v>
      </c>
    </row>
    <row r="20" ht="22.5" customHeight="1">
      <c r="B20" s="4" t="s">
        <v>115</v>
      </c>
      <c r="C20" s="4" t="s">
        <v>58</v>
      </c>
      <c r="D20" s="4" t="s">
        <v>60</v>
      </c>
      <c r="E20" s="4" t="s">
        <v>118</v>
      </c>
      <c r="F20" s="4" t="s">
        <v>18</v>
      </c>
      <c r="G20" s="6" t="s">
        <v>90</v>
      </c>
      <c r="H20" s="7">
        <v>10.0</v>
      </c>
      <c r="I20" s="9" t="s">
        <v>22</v>
      </c>
    </row>
    <row r="21" ht="22.5" customHeight="1">
      <c r="B21" s="4" t="s">
        <v>120</v>
      </c>
      <c r="C21" s="4" t="s">
        <v>70</v>
      </c>
      <c r="D21" s="4" t="s">
        <v>71</v>
      </c>
      <c r="E21" s="4" t="s">
        <v>121</v>
      </c>
      <c r="F21" s="4" t="s">
        <v>18</v>
      </c>
      <c r="G21" s="6" t="s">
        <v>90</v>
      </c>
      <c r="H21" s="7">
        <v>10.0</v>
      </c>
      <c r="I21" s="9" t="s">
        <v>22</v>
      </c>
    </row>
    <row r="22" ht="22.5" customHeight="1">
      <c r="B22" s="4" t="s">
        <v>125</v>
      </c>
      <c r="C22" s="4" t="s">
        <v>70</v>
      </c>
      <c r="D22" s="4" t="s">
        <v>71</v>
      </c>
      <c r="E22" s="4" t="s">
        <v>129</v>
      </c>
      <c r="F22" s="4" t="s">
        <v>36</v>
      </c>
      <c r="G22" s="6" t="s">
        <v>90</v>
      </c>
      <c r="H22" s="7">
        <v>10.0</v>
      </c>
      <c r="I22" s="9" t="s">
        <v>22</v>
      </c>
    </row>
    <row r="23" ht="22.5" customHeight="1">
      <c r="B23" s="4" t="s">
        <v>131</v>
      </c>
      <c r="C23" s="4" t="s">
        <v>93</v>
      </c>
      <c r="D23" s="4" t="s">
        <v>94</v>
      </c>
      <c r="E23" s="4" t="s">
        <v>132</v>
      </c>
      <c r="F23" s="4" t="s">
        <v>133</v>
      </c>
      <c r="G23" s="6" t="s">
        <v>90</v>
      </c>
      <c r="H23" s="7">
        <v>16.0</v>
      </c>
      <c r="I23" s="9" t="s">
        <v>22</v>
      </c>
    </row>
    <row r="24" ht="22.5" customHeight="1">
      <c r="B24" s="4" t="s">
        <v>134</v>
      </c>
      <c r="C24" s="4" t="s">
        <v>93</v>
      </c>
      <c r="D24" s="4" t="s">
        <v>94</v>
      </c>
      <c r="E24" s="4" t="s">
        <v>135</v>
      </c>
      <c r="F24" s="4" t="s">
        <v>133</v>
      </c>
      <c r="G24" s="6" t="s">
        <v>90</v>
      </c>
      <c r="H24" s="7">
        <v>26.0</v>
      </c>
      <c r="I24" s="9" t="s">
        <v>22</v>
      </c>
    </row>
    <row r="25" ht="22.5" customHeight="1">
      <c r="B25" s="12" t="s">
        <v>136</v>
      </c>
      <c r="C25" s="12" t="s">
        <v>80</v>
      </c>
      <c r="D25" s="12" t="s">
        <v>81</v>
      </c>
      <c r="E25" s="12" t="s">
        <v>137</v>
      </c>
      <c r="F25" s="12" t="s">
        <v>36</v>
      </c>
      <c r="G25" s="6" t="s">
        <v>90</v>
      </c>
      <c r="H25" s="7">
        <v>20.0</v>
      </c>
      <c r="I25" s="9" t="s">
        <v>22</v>
      </c>
    </row>
    <row r="26" ht="22.5" customHeight="1">
      <c r="B26" s="12" t="s">
        <v>138</v>
      </c>
      <c r="C26" s="12" t="s">
        <v>80</v>
      </c>
      <c r="D26" s="12" t="s">
        <v>81</v>
      </c>
      <c r="E26" s="12" t="s">
        <v>139</v>
      </c>
      <c r="F26" s="12" t="s">
        <v>104</v>
      </c>
      <c r="G26" s="6" t="s">
        <v>90</v>
      </c>
      <c r="H26" s="7">
        <v>14.0</v>
      </c>
      <c r="I26" s="9" t="s">
        <v>22</v>
      </c>
    </row>
    <row r="27" ht="22.5" customHeight="1">
      <c r="B27" s="12" t="s">
        <v>140</v>
      </c>
      <c r="C27" s="12" t="s">
        <v>116</v>
      </c>
      <c r="D27" s="12" t="s">
        <v>117</v>
      </c>
      <c r="E27" s="12" t="s">
        <v>141</v>
      </c>
      <c r="F27" s="12" t="s">
        <v>18</v>
      </c>
      <c r="G27" s="6" t="s">
        <v>90</v>
      </c>
      <c r="H27" s="7">
        <v>8.0</v>
      </c>
      <c r="I27" s="9" t="s">
        <v>22</v>
      </c>
    </row>
    <row r="28" ht="22.5" customHeight="1">
      <c r="B28" s="12" t="s">
        <v>142</v>
      </c>
      <c r="C28" s="12" t="s">
        <v>116</v>
      </c>
      <c r="D28" s="12" t="s">
        <v>117</v>
      </c>
      <c r="E28" s="12" t="s">
        <v>143</v>
      </c>
      <c r="F28" s="12" t="s">
        <v>104</v>
      </c>
      <c r="G28" s="6" t="s">
        <v>90</v>
      </c>
      <c r="H28" s="7">
        <v>16.0</v>
      </c>
      <c r="I28" s="9" t="s">
        <v>22</v>
      </c>
    </row>
    <row r="29" ht="22.5" customHeight="1">
      <c r="B29" s="12" t="s">
        <v>144</v>
      </c>
      <c r="C29" s="12" t="s">
        <v>123</v>
      </c>
      <c r="D29" s="12" t="s">
        <v>124</v>
      </c>
      <c r="E29" s="12" t="s">
        <v>145</v>
      </c>
      <c r="F29" s="12" t="s">
        <v>36</v>
      </c>
      <c r="G29" s="6" t="s">
        <v>90</v>
      </c>
      <c r="H29" s="7">
        <v>16.0</v>
      </c>
      <c r="I29" s="9" t="s">
        <v>22</v>
      </c>
    </row>
    <row r="30" ht="22.5" customHeight="1">
      <c r="B30" s="12" t="s">
        <v>146</v>
      </c>
      <c r="C30" s="12" t="s">
        <v>123</v>
      </c>
      <c r="D30" s="12" t="s">
        <v>124</v>
      </c>
      <c r="E30" s="12" t="s">
        <v>147</v>
      </c>
      <c r="F30" s="12" t="s">
        <v>36</v>
      </c>
      <c r="G30" s="6" t="s">
        <v>90</v>
      </c>
      <c r="H30" s="7">
        <v>24.0</v>
      </c>
      <c r="I30" s="9" t="s">
        <v>22</v>
      </c>
    </row>
    <row r="31" ht="22.5" customHeight="1">
      <c r="B31" s="4" t="s">
        <v>148</v>
      </c>
      <c r="C31" s="4" t="s">
        <v>82</v>
      </c>
      <c r="D31" s="4" t="s">
        <v>84</v>
      </c>
      <c r="E31" s="4" t="s">
        <v>149</v>
      </c>
      <c r="F31" s="4" t="s">
        <v>150</v>
      </c>
      <c r="G31" s="6" t="s">
        <v>151</v>
      </c>
      <c r="H31" s="7">
        <v>16.0</v>
      </c>
      <c r="I31" s="9" t="s">
        <v>22</v>
      </c>
    </row>
    <row r="32" ht="22.5" customHeight="1">
      <c r="B32" s="4" t="s">
        <v>152</v>
      </c>
      <c r="C32" s="4" t="s">
        <v>82</v>
      </c>
      <c r="D32" s="4" t="s">
        <v>84</v>
      </c>
      <c r="E32" s="4" t="s">
        <v>153</v>
      </c>
      <c r="F32" s="4" t="s">
        <v>104</v>
      </c>
      <c r="G32" s="6" t="s">
        <v>151</v>
      </c>
      <c r="H32" s="7">
        <v>10.0</v>
      </c>
      <c r="I32" s="9" t="s">
        <v>22</v>
      </c>
    </row>
    <row r="33" ht="22.5" customHeight="1">
      <c r="B33" s="4" t="s">
        <v>154</v>
      </c>
      <c r="C33" s="4" t="s">
        <v>63</v>
      </c>
      <c r="D33" s="4" t="s">
        <v>64</v>
      </c>
      <c r="E33" s="4" t="s">
        <v>155</v>
      </c>
      <c r="F33" s="4" t="s">
        <v>156</v>
      </c>
      <c r="G33" s="6" t="s">
        <v>151</v>
      </c>
      <c r="H33" s="7">
        <v>30.0</v>
      </c>
      <c r="I33" s="9" t="s">
        <v>22</v>
      </c>
    </row>
    <row r="34" ht="22.5" customHeight="1">
      <c r="B34" s="4" t="s">
        <v>157</v>
      </c>
      <c r="C34" s="4" t="s">
        <v>63</v>
      </c>
      <c r="D34" s="4" t="s">
        <v>64</v>
      </c>
      <c r="E34" s="4" t="s">
        <v>158</v>
      </c>
      <c r="F34" s="4" t="s">
        <v>156</v>
      </c>
      <c r="G34" s="6" t="s">
        <v>151</v>
      </c>
      <c r="H34" s="7">
        <v>20.0</v>
      </c>
      <c r="I34" s="9" t="s">
        <v>22</v>
      </c>
    </row>
    <row r="35" ht="22.5" customHeight="1">
      <c r="B35" s="4" t="s">
        <v>159</v>
      </c>
      <c r="C35" s="4" t="s">
        <v>87</v>
      </c>
      <c r="D35" s="4" t="s">
        <v>89</v>
      </c>
      <c r="E35" s="4" t="s">
        <v>160</v>
      </c>
      <c r="F35" s="4" t="s">
        <v>18</v>
      </c>
      <c r="G35" s="6" t="s">
        <v>151</v>
      </c>
      <c r="H35" s="7">
        <v>20.0</v>
      </c>
      <c r="I35" s="9" t="s">
        <v>22</v>
      </c>
    </row>
    <row r="36" ht="22.5" customHeight="1">
      <c r="B36" s="4" t="s">
        <v>161</v>
      </c>
      <c r="C36" s="4" t="s">
        <v>87</v>
      </c>
      <c r="D36" s="4" t="s">
        <v>89</v>
      </c>
      <c r="E36" s="4" t="s">
        <v>162</v>
      </c>
      <c r="F36" s="4" t="s">
        <v>163</v>
      </c>
      <c r="G36" s="6" t="s">
        <v>151</v>
      </c>
      <c r="H36" s="7">
        <v>16.0</v>
      </c>
      <c r="I36" s="9" t="s">
        <v>22</v>
      </c>
    </row>
    <row r="37" ht="22.5" customHeight="1">
      <c r="B37" s="4" t="s">
        <v>164</v>
      </c>
      <c r="C37" s="4" t="s">
        <v>100</v>
      </c>
      <c r="D37" s="4" t="s">
        <v>101</v>
      </c>
      <c r="E37" s="4" t="s">
        <v>165</v>
      </c>
      <c r="F37" s="4" t="s">
        <v>133</v>
      </c>
      <c r="G37" s="6" t="s">
        <v>151</v>
      </c>
      <c r="H37" s="7">
        <v>16.0</v>
      </c>
      <c r="I37" s="9" t="s">
        <v>22</v>
      </c>
    </row>
    <row r="38" ht="22.5" customHeight="1">
      <c r="B38" s="4" t="s">
        <v>166</v>
      </c>
      <c r="C38" s="4" t="s">
        <v>100</v>
      </c>
      <c r="D38" s="4" t="s">
        <v>101</v>
      </c>
      <c r="E38" s="4" t="s">
        <v>167</v>
      </c>
      <c r="F38" s="4" t="s">
        <v>168</v>
      </c>
      <c r="G38" s="6" t="s">
        <v>151</v>
      </c>
      <c r="H38" s="7">
        <v>10.0</v>
      </c>
      <c r="I38" s="9" t="s">
        <v>22</v>
      </c>
    </row>
    <row r="39" ht="22.5" customHeight="1">
      <c r="B39" s="4" t="s">
        <v>169</v>
      </c>
      <c r="C39" s="4" t="s">
        <v>105</v>
      </c>
      <c r="D39" s="4" t="s">
        <v>106</v>
      </c>
      <c r="E39" s="4" t="s">
        <v>170</v>
      </c>
      <c r="F39" s="4" t="s">
        <v>133</v>
      </c>
      <c r="G39" s="6" t="s">
        <v>151</v>
      </c>
      <c r="H39" s="7">
        <v>20.0</v>
      </c>
      <c r="I39" s="9" t="s">
        <v>22</v>
      </c>
    </row>
    <row r="40" ht="22.5" customHeight="1">
      <c r="B40" s="4" t="s">
        <v>171</v>
      </c>
      <c r="C40" s="4" t="s">
        <v>105</v>
      </c>
      <c r="D40" s="4" t="s">
        <v>106</v>
      </c>
      <c r="E40" s="4" t="s">
        <v>172</v>
      </c>
      <c r="F40" s="4" t="s">
        <v>133</v>
      </c>
      <c r="G40" s="6" t="s">
        <v>151</v>
      </c>
      <c r="H40" s="7">
        <v>10.0</v>
      </c>
      <c r="I40" s="9" t="s">
        <v>173</v>
      </c>
    </row>
    <row r="41" ht="22.5" customHeight="1">
      <c r="B41" s="12" t="s">
        <v>174</v>
      </c>
      <c r="C41" s="12" t="s">
        <v>116</v>
      </c>
      <c r="D41" s="12" t="s">
        <v>117</v>
      </c>
      <c r="E41" s="12" t="s">
        <v>175</v>
      </c>
      <c r="F41" s="12" t="s">
        <v>104</v>
      </c>
      <c r="G41" s="6" t="s">
        <v>151</v>
      </c>
      <c r="H41" s="7">
        <v>14.0</v>
      </c>
      <c r="I41" s="9" t="s">
        <v>22</v>
      </c>
    </row>
    <row r="42" ht="22.5" customHeight="1">
      <c r="B42" s="12" t="s">
        <v>176</v>
      </c>
      <c r="C42" s="12" t="s">
        <v>75</v>
      </c>
      <c r="D42" s="12" t="s">
        <v>76</v>
      </c>
      <c r="E42" s="12" t="s">
        <v>177</v>
      </c>
      <c r="F42" s="12" t="s">
        <v>36</v>
      </c>
      <c r="G42" s="6" t="s">
        <v>151</v>
      </c>
      <c r="H42" s="7">
        <v>20.0</v>
      </c>
      <c r="I42" s="9" t="s">
        <v>22</v>
      </c>
    </row>
    <row r="43" ht="22.5" customHeight="1">
      <c r="B43" s="12" t="s">
        <v>178</v>
      </c>
      <c r="C43" s="12" t="s">
        <v>75</v>
      </c>
      <c r="D43" s="12" t="s">
        <v>76</v>
      </c>
      <c r="E43" s="12" t="s">
        <v>179</v>
      </c>
      <c r="F43" s="12" t="s">
        <v>36</v>
      </c>
      <c r="G43" s="6" t="s">
        <v>151</v>
      </c>
      <c r="H43" s="7">
        <v>20.0</v>
      </c>
      <c r="I43" s="9" t="s">
        <v>22</v>
      </c>
    </row>
    <row r="44" ht="22.5" customHeight="1">
      <c r="B44" s="12" t="s">
        <v>180</v>
      </c>
      <c r="C44" s="12" t="s">
        <v>75</v>
      </c>
      <c r="D44" s="12" t="s">
        <v>76</v>
      </c>
      <c r="E44" s="12" t="s">
        <v>181</v>
      </c>
      <c r="F44" s="12" t="s">
        <v>182</v>
      </c>
      <c r="G44" s="6" t="s">
        <v>151</v>
      </c>
      <c r="H44" s="7">
        <v>10.0</v>
      </c>
      <c r="I44" s="9" t="s">
        <v>22</v>
      </c>
    </row>
    <row r="45" ht="22.5" customHeight="1">
      <c r="B45" s="12" t="s">
        <v>183</v>
      </c>
      <c r="C45" s="12" t="s">
        <v>123</v>
      </c>
      <c r="D45" s="12" t="s">
        <v>124</v>
      </c>
      <c r="E45" s="12" t="s">
        <v>184</v>
      </c>
      <c r="F45" s="12" t="s">
        <v>163</v>
      </c>
      <c r="G45" s="6" t="s">
        <v>151</v>
      </c>
      <c r="H45" s="7">
        <v>10.0</v>
      </c>
      <c r="I45" s="9" t="s">
        <v>22</v>
      </c>
    </row>
    <row r="46" ht="22.5" customHeight="1">
      <c r="B46" s="12" t="s">
        <v>185</v>
      </c>
      <c r="C46" s="12" t="s">
        <v>127</v>
      </c>
      <c r="D46" s="12" t="s">
        <v>128</v>
      </c>
      <c r="E46" s="12" t="s">
        <v>186</v>
      </c>
      <c r="F46" s="12" t="s">
        <v>36</v>
      </c>
      <c r="G46" s="6" t="s">
        <v>151</v>
      </c>
      <c r="H46" s="7">
        <v>12.0</v>
      </c>
      <c r="I46" s="9" t="s">
        <v>22</v>
      </c>
    </row>
    <row r="47" ht="22.5" customHeight="1">
      <c r="B47" s="12" t="s">
        <v>187</v>
      </c>
      <c r="C47" s="12" t="s">
        <v>127</v>
      </c>
      <c r="D47" s="12" t="s">
        <v>128</v>
      </c>
      <c r="E47" s="12" t="s">
        <v>188</v>
      </c>
      <c r="F47" s="12" t="s">
        <v>163</v>
      </c>
      <c r="G47" s="6" t="s">
        <v>151</v>
      </c>
      <c r="H47" s="7">
        <v>16.0</v>
      </c>
      <c r="I47" s="9" t="s">
        <v>22</v>
      </c>
    </row>
    <row r="48" ht="22.5" customHeight="1">
      <c r="B48" s="12" t="s">
        <v>189</v>
      </c>
      <c r="C48" s="12" t="s">
        <v>127</v>
      </c>
      <c r="D48" s="12" t="s">
        <v>128</v>
      </c>
      <c r="E48" s="12" t="s">
        <v>190</v>
      </c>
      <c r="F48" s="12" t="s">
        <v>36</v>
      </c>
      <c r="G48" s="6" t="s">
        <v>151</v>
      </c>
      <c r="H48" s="7">
        <v>12.0</v>
      </c>
      <c r="I48" s="9" t="s">
        <v>22</v>
      </c>
    </row>
    <row r="49" ht="22.5" customHeight="1">
      <c r="B49" s="14"/>
      <c r="C49" s="15"/>
      <c r="D49" s="15"/>
      <c r="E49" s="15"/>
      <c r="F49" s="15"/>
      <c r="G49" s="16" t="s">
        <v>191</v>
      </c>
      <c r="H49" s="17">
        <f>SUM(H4:H48)</f>
        <v>796</v>
      </c>
      <c r="I49" s="18" t="s">
        <v>22</v>
      </c>
    </row>
  </sheetData>
  <conditionalFormatting sqref="I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I4:I49">
      <formula1>"Terminado,En proceso,En validación,Pendiente,Eliminado"</formula1>
    </dataValidation>
    <dataValidation type="list" allowBlank="1" showDropDown="1" showErrorMessage="1" sqref="G4:G49">
      <formula1>"Sprint 1,Sprint 2,Sprint 3"</formula1>
    </dataValidation>
    <dataValidation type="custom" allowBlank="1" showDropDown="1" sqref="H4:H49">
      <formula1>AND(ISNUMBER(H4),(NOT(OR(NOT(ISERROR(DATEVALUE(H4))), AND(ISNUMBER(H4), LEFT(CELL("format", H4))="D")))))</formula1>
    </dataValidation>
  </dataValidations>
  <drawing r:id="rId1"/>
  <tableParts count="1">
    <tablePart r:id="rId3"/>
  </tableParts>
</worksheet>
</file>
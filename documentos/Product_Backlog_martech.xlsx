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james\Desktop\"/>
    </mc:Choice>
  </mc:AlternateContent>
  <xr:revisionPtr revIDLastSave="0" documentId="13_ncr:1_{F07AEA2A-0C67-48C0-ABF3-673D88B7BCFD}" xr6:coauthVersionLast="47" xr6:coauthVersionMax="47" xr10:uidLastSave="{00000000-0000-0000-0000-000000000000}"/>
  <bookViews>
    <workbookView xWindow="-120" yWindow="-120" windowWidth="29040" windowHeight="16440" activeTab="1" xr2:uid="{00000000-000D-0000-FFFF-FFFF00000000}"/>
  </bookViews>
  <sheets>
    <sheet name="Product backlog" sheetId="1" r:id="rId1"/>
    <sheet name="Tareas técnica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3" i="2" l="1"/>
</calcChain>
</file>

<file path=xl/sharedStrings.xml><?xml version="1.0" encoding="utf-8"?>
<sst xmlns="http://schemas.openxmlformats.org/spreadsheetml/2006/main" count="319" uniqueCount="144">
  <si>
    <t>ID Tarea</t>
  </si>
  <si>
    <t>Product Backlog</t>
  </si>
  <si>
    <t>ID Backlog</t>
  </si>
  <si>
    <t>Backlog ID</t>
  </si>
  <si>
    <t>Historia de Usuario</t>
  </si>
  <si>
    <t>HU</t>
  </si>
  <si>
    <t>Rol de la historia</t>
  </si>
  <si>
    <t>Tarea Técnica / Descripción</t>
  </si>
  <si>
    <t>Rol Asignado</t>
  </si>
  <si>
    <t>Necesidad y objetivo de la historia</t>
  </si>
  <si>
    <t>Agrupación</t>
  </si>
  <si>
    <t>Sprint</t>
  </si>
  <si>
    <t>Prioridad</t>
  </si>
  <si>
    <t>Est. (HH)</t>
  </si>
  <si>
    <t>Sprint points (sp)</t>
  </si>
  <si>
    <t>Estado</t>
  </si>
  <si>
    <t>PB01</t>
  </si>
  <si>
    <t>T01-1</t>
  </si>
  <si>
    <t>HU-06</t>
  </si>
  <si>
    <t>Usuario CI</t>
  </si>
  <si>
    <t>Gestionar cuentas, permisos y servicios desde IAM para asegurar compartimentación de información.</t>
  </si>
  <si>
    <t>Crear y configurar cuentas de servicio saccount en GCP IAM aplicando mínimo privilegio.</t>
  </si>
  <si>
    <t>Gobernanza, seguridad y accesos</t>
  </si>
  <si>
    <t>Cloud Engineer</t>
  </si>
  <si>
    <t>Alta</t>
  </si>
  <si>
    <t>Sprint 1</t>
  </si>
  <si>
    <t>Terminado</t>
  </si>
  <si>
    <t>PB02</t>
  </si>
  <si>
    <t>HU-04</t>
  </si>
  <si>
    <t>Configurar y aplicar políticas de Row Level Security (RLS) para asegurar la compartimentación de datos por tenant.</t>
  </si>
  <si>
    <t>T01-2</t>
  </si>
  <si>
    <t>Configurar políticas de tokens, expiración de claves y auditoría de accesos denegados.</t>
  </si>
  <si>
    <t>PB03</t>
  </si>
  <si>
    <t>Security Admin</t>
  </si>
  <si>
    <t>HU-05</t>
  </si>
  <si>
    <t>Configurar y aplicar reglas de Dynamic Data Masking (DDM) para asegurar confidencialidad de datos PII.</t>
  </si>
  <si>
    <t>T02-1</t>
  </si>
  <si>
    <t>PB04</t>
  </si>
  <si>
    <t>HU-07</t>
  </si>
  <si>
    <t>Orquestador de pipeline</t>
  </si>
  <si>
    <t>Acceso a endpoints de Magento y fuentes de tenants para iniciar extracción incremental de datos.</t>
  </si>
  <si>
    <t>Definir e implementar políticas de Row Level Security (RLS) por tenant_id en tablas BigQuery.</t>
  </si>
  <si>
    <t>Ingesta, transformación y Carga</t>
  </si>
  <si>
    <t>Data Engineer</t>
  </si>
  <si>
    <t>PB05</t>
  </si>
  <si>
    <t>HU-09</t>
  </si>
  <si>
    <t>Aplicar formato, limpieza y transformaciones a datos crudos extraídos de forma automatizada.</t>
  </si>
  <si>
    <t>T02-2</t>
  </si>
  <si>
    <t>Ejecutar pruebas de aislamiento de datos y simulación de accesos no autorizados entre tenants.</t>
  </si>
  <si>
    <t>PB06</t>
  </si>
  <si>
    <t>QA / Security</t>
  </si>
  <si>
    <t>HU-08</t>
  </si>
  <si>
    <t>Aplicar modelos SQL definidos para cada capa Medallion en dbt para calcular métricas de negocio.</t>
  </si>
  <si>
    <t>T03-1</t>
  </si>
  <si>
    <t>PB07</t>
  </si>
  <si>
    <t>HU-11</t>
  </si>
  <si>
    <t>Crear Policy Tags de Dynamic Data Masking (DDM) para enmascarar RUT, email y teléfono.</t>
  </si>
  <si>
    <t>Programar inicio autónomo de extracción, procesamiento y carga de datos de clientes MarTech.</t>
  </si>
  <si>
    <t>Orquestación, ops y calidad</t>
  </si>
  <si>
    <t>T03-2</t>
  </si>
  <si>
    <t>PB08</t>
  </si>
  <si>
    <t>HU-10</t>
  </si>
  <si>
    <t>Asignar rol Masked Reader y validar des-enmascaramiento seguro en logs de auditoría.</t>
  </si>
  <si>
    <t>Cliente de MarTech</t>
  </si>
  <si>
    <t>Acceder a datos procesados y métricas de negocio vía API externa de MarTech para implementación de datos.</t>
  </si>
  <si>
    <t>Baja</t>
  </si>
  <si>
    <t>En proceso</t>
  </si>
  <si>
    <t>T04-1</t>
  </si>
  <si>
    <t>PB09</t>
  </si>
  <si>
    <t>Desarrollar script Python en Cloud Run Job para extracción incremental desde API Magento.</t>
  </si>
  <si>
    <t>HU-12</t>
  </si>
  <si>
    <t>Iniciar y configurar extracción, procesamiento y carga de forma manual para resolver errores o ajustes.</t>
  </si>
  <si>
    <t>Media</t>
  </si>
  <si>
    <t>PB10</t>
  </si>
  <si>
    <t>T04-2</t>
  </si>
  <si>
    <t>HU-13</t>
  </si>
  <si>
    <t>Crear tabla pipeline_state para control de marcas de agua, reintentos e idempotencia.</t>
  </si>
  <si>
    <t>Editar, eliminar o añadir modelos de análisis dbt en GitHub según necesidades de negocio.</t>
  </si>
  <si>
    <t>T05-1</t>
  </si>
  <si>
    <t>PB11</t>
  </si>
  <si>
    <t>HU-14</t>
  </si>
  <si>
    <t>Programar rutinas de limpieza, tipado de datos y estandarización para la capa Silver.</t>
  </si>
  <si>
    <t>Consultar resultados de automatización (Cloud Logging, pipeline_state) y trazabilidad post-transformación.</t>
  </si>
  <si>
    <t>Sprint 2</t>
  </si>
  <si>
    <t>En validación</t>
  </si>
  <si>
    <t>PB12</t>
  </si>
  <si>
    <t>HU-01</t>
  </si>
  <si>
    <t>T05-2</t>
  </si>
  <si>
    <t>Usuario de negocio</t>
  </si>
  <si>
    <t>Acceder a dashboard centralizado en Looker Studio mostrando métricas de negocio de la capa Gold.</t>
  </si>
  <si>
    <t>Visualización y negocio</t>
  </si>
  <si>
    <t>Implementar tabla de cuarentena para registros corruptos y lógica de deduplicación.</t>
  </si>
  <si>
    <t>PB13</t>
  </si>
  <si>
    <t>HU-02</t>
  </si>
  <si>
    <t>T06-1</t>
  </si>
  <si>
    <t>Filtrar la información desplegada en el dashboard según Tenant para análisis personalizado.</t>
  </si>
  <si>
    <t>Configurar entorno dbt Cloud, conexión con BigQuery y estructura del proyecto Medallion.</t>
  </si>
  <si>
    <t>Analytics Engineer</t>
  </si>
  <si>
    <t>PB14</t>
  </si>
  <si>
    <t>T06-2</t>
  </si>
  <si>
    <t>HU-03</t>
  </si>
  <si>
    <t>Seleccionar de forma personalizada grupos de métricas, gráficos y rangos de tiempo en el tablero.</t>
  </si>
  <si>
    <t>Desarrollar modelos SQL para Staging, Silver y Gold (cálculo de KPIs de negocio).</t>
  </si>
  <si>
    <t>T06-3</t>
  </si>
  <si>
    <t>Implementar pruebas automatizadas en dbt (unique, not_null) para aserción de calidad.</t>
  </si>
  <si>
    <t>T07-1</t>
  </si>
  <si>
    <t>Configurar Cloud Scheduler (cron) para el disparo autónomo diario del pipeline.</t>
  </si>
  <si>
    <t>T07-2</t>
  </si>
  <si>
    <t>Definir secuencia de dependencias (Bronze $\rightarrow$ dbt) y alertas por interrupción.</t>
  </si>
  <si>
    <t>T09-1</t>
  </si>
  <si>
    <t>Habilitar disparador manual y paso de parámetros de rango de fechas en Cloud Run / dbt.</t>
  </si>
  <si>
    <t>T09-2</t>
  </si>
  <si>
    <t>Probar ejecuciones ad-hoc manuales y mecanismos de cancelación controlada de jobs.</t>
  </si>
  <si>
    <t>T12-1</t>
  </si>
  <si>
    <t>Conectar Looker Studio con la capa Gold en BigQuery aplicando las reglas RLS/DDM.</t>
  </si>
  <si>
    <t>BI Developer</t>
  </si>
  <si>
    <t>T12-2</t>
  </si>
  <si>
    <t>Diseñar componentes visuales del dashboard (métricas de negocio y tablas de clientes).</t>
  </si>
  <si>
    <t>T10-1</t>
  </si>
  <si>
    <t>Configurar repositorio GitHub martechanalytics y pipeline CI/CD para modelos dbt.</t>
  </si>
  <si>
    <t>DevOps / CI</t>
  </si>
  <si>
    <t>Sprint 3</t>
  </si>
  <si>
    <t>T10-2</t>
  </si>
  <si>
    <t>Validar flujos de Pull Request, compilación automática y despliegue de modelos.</t>
  </si>
  <si>
    <t>T08-1</t>
  </si>
  <si>
    <t>Desarrollar endpoint REST en Cloud Run para exponer métricas procesadas en JSON.</t>
  </si>
  <si>
    <t>Backend Dev</t>
  </si>
  <si>
    <t>T08-2</t>
  </si>
  <si>
    <t>Configurar autenticación por tokens, control de tasa (throttling HTTP 429) y errores 401.</t>
  </si>
  <si>
    <t>T11-1</t>
  </si>
  <si>
    <t>Centralizar métricas de ejecución, tiempos y volúmenes en pipeline_state y Cloud Logging.</t>
  </si>
  <si>
    <t>T11-2</t>
  </si>
  <si>
    <t>Validar la trazabilidad del linaje de datos (DAG dbt) y alertas de inconsistencia de volumen.</t>
  </si>
  <si>
    <t>Data / QA</t>
  </si>
  <si>
    <t>T13-1</t>
  </si>
  <si>
    <t>Implementar control de filtro por Tenant en Looker Studio con recálculo dinámico.</t>
  </si>
  <si>
    <t>T13-2</t>
  </si>
  <si>
    <t>Evaluar la interacción entre el filtro interactivo del tablero y la política RLS subyacente.</t>
  </si>
  <si>
    <t>BI Developer / QA</t>
  </si>
  <si>
    <t>T14-1</t>
  </si>
  <si>
    <t>Incorporar selectores de rangos de fechas, comparativas temporales y tendencias.</t>
  </si>
  <si>
    <t>T14-2</t>
  </si>
  <si>
    <t>Configurar y validar la funcionalidad de exportación de informes a formato PDF y CSV.</t>
  </si>
  <si>
    <t>Total hrs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</si>
</sst>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8" x14ac:knownFonts="1">
    <font>
      <sz val="10"/>
      <color rgb="FF000000"/>
      <name val="Arial"/>
      <scheme val="minor"/>
    </font>
    <font>
      <b/>
      <i/>
      <sz val="21"/>
      <color theme="1"/>
      <name val="Arial"/>
    </font>
    <font>
      <sz val="10"/>
      <color theme="1"/>
      <name val="Arial"/>
      <scheme val="minor"/>
    </font>
    <font>
      <sz val="11"/>
      <color rgb="FF1F1F1F"/>
      <name val="Calibri"/>
    </font>
    <font>
      <b/>
      <sz val="11"/>
      <color rgb="FF1F1F1F"/>
      <name val="Calibri"/>
    </font>
    <font>
      <sz val="11"/>
      <color rgb="FF1F1F1F"/>
      <name val="Calibri"/>
      <family val="2"/>
    </font>
    <font>
      <b/>
      <sz val="10"/>
      <color theme="0"/>
      <name val="Arial"/>
      <family val="2"/>
      <scheme val="minor"/>
    </font>
    <font>
      <sz val="11"/>
      <color theme="0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/>
    <xf numFmtId="0" fontId="2" fillId="0" borderId="1" xfId="0" applyFont="1" applyBorder="1" applyAlignment="1">
      <alignment vertical="center"/>
    </xf>
    <xf numFmtId="0" fontId="3" fillId="0" borderId="1" xfId="0" applyFont="1" applyBorder="1" applyAlignment="1">
      <alignment horizontal="left" vertical="center" wrapText="1"/>
    </xf>
    <xf numFmtId="0" fontId="2" fillId="0" borderId="1" xfId="0" applyFont="1" applyBorder="1" applyAlignment="1">
      <alignment vertical="center" wrapText="1"/>
    </xf>
    <xf numFmtId="0" fontId="4" fillId="0" borderId="0" xfId="0" applyFont="1" applyAlignment="1">
      <alignment horizontal="left" vertical="center" wrapText="1"/>
    </xf>
    <xf numFmtId="0" fontId="3" fillId="0" borderId="0" xfId="0" applyFont="1" applyAlignment="1">
      <alignment horizontal="left" vertical="center" wrapText="1"/>
    </xf>
    <xf numFmtId="0" fontId="3" fillId="0" borderId="0" xfId="0" applyFont="1" applyAlignment="1">
      <alignment vertical="center" wrapText="1"/>
    </xf>
    <xf numFmtId="0" fontId="5" fillId="0" borderId="1" xfId="0" applyFont="1" applyBorder="1" applyAlignment="1">
      <alignment horizontal="left" vertical="center" wrapText="1"/>
    </xf>
    <xf numFmtId="0" fontId="6" fillId="0" borderId="0" xfId="0" applyFont="1" applyAlignment="1">
      <alignment horizontal="center" vertical="center"/>
    </xf>
    <xf numFmtId="49" fontId="6" fillId="0" borderId="0" xfId="0" applyNumberFormat="1" applyFont="1" applyAlignment="1">
      <alignment horizontal="center" vertical="center" wrapText="1"/>
    </xf>
    <xf numFmtId="0" fontId="7" fillId="0" borderId="0" xfId="0" applyFont="1" applyAlignment="1">
      <alignment horizontal="left" vertical="center" wrapText="1"/>
    </xf>
  </cellXfs>
  <cellStyles count="1">
    <cellStyle name="Normal" xfId="0" builtinId="0"/>
  </cellStyles>
  <dxfs count="10">
    <dxf>
      <font>
        <strike val="0"/>
        <outline val="0"/>
        <shadow val="0"/>
        <u val="none"/>
        <vertAlign val="baseline"/>
        <sz val="11"/>
        <color theme="0"/>
        <name val="Calibri"/>
        <scheme val="none"/>
      </font>
    </dxf>
    <dxf>
      <font>
        <strike val="0"/>
        <outline val="0"/>
        <shadow val="0"/>
        <u val="none"/>
        <vertAlign val="baseline"/>
        <sz val="10"/>
        <color theme="0"/>
        <name val="Arial"/>
        <scheme val="minor"/>
      </font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</dxfs>
  <tableStyles count="2">
    <tableStyle name="Product backlog-style" pivot="0" count="4" xr9:uid="{00000000-0011-0000-FFFF-FFFF00000000}">
      <tableStyleElement type="wholeTable" size="0" dxfId="6"/>
      <tableStyleElement type="headerRow" dxfId="9"/>
      <tableStyleElement type="firstRowStripe" dxfId="8"/>
      <tableStyleElement type="secondRowStripe" dxfId="7"/>
    </tableStyle>
    <tableStyle name="Tareas técnicas-style" pivot="0" count="4" xr9:uid="{00000000-0011-0000-FFFF-FFFF01000000}">
      <tableStyleElement type="wholeTable" size="0" dxfId="2"/>
      <tableStyleElement type="headerRow" dxfId="5"/>
      <tableStyleElement type="firstRowStripe" dxfId="4"/>
      <tableStyleElement type="secondRowStripe" dxfId="3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Product_Backlog" displayName="Product_Backlog" ref="B3:I17" headerRowDxfId="1">
  <tableColumns count="8">
    <tableColumn id="1" xr3:uid="{00000000-0010-0000-0000-000001000000}" name="ID Backlog"/>
    <tableColumn id="2" xr3:uid="{00000000-0010-0000-0000-000002000000}" name="Historia de Usuario"/>
    <tableColumn id="3" xr3:uid="{00000000-0010-0000-0000-000003000000}" name="Rol de la historia"/>
    <tableColumn id="4" xr3:uid="{00000000-0010-0000-0000-000004000000}" name="Necesidad y objetivo de la historia"/>
    <tableColumn id="5" xr3:uid="{00000000-0010-0000-0000-000005000000}" name="Agrupación"/>
    <tableColumn id="6" xr3:uid="{00000000-0010-0000-0000-000006000000}" name="Prioridad"/>
    <tableColumn id="7" xr3:uid="{00000000-0010-0000-0000-000007000000}" name="Sprint points (sp)"/>
    <tableColumn id="8" xr3:uid="{00000000-0010-0000-0000-000008000000}" name="Estado"/>
  </tableColumns>
  <tableStyleInfo name="Product backlog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Tareas_Técnicas" displayName="Tareas_Técnicas" ref="B3:I33" headerRowDxfId="0">
  <tableColumns count="8">
    <tableColumn id="1" xr3:uid="{00000000-0010-0000-0100-000001000000}" name="ID Tarea"/>
    <tableColumn id="2" xr3:uid="{00000000-0010-0000-0100-000002000000}" name="Backlog ID"/>
    <tableColumn id="3" xr3:uid="{00000000-0010-0000-0100-000003000000}" name="HU"/>
    <tableColumn id="4" xr3:uid="{00000000-0010-0000-0100-000004000000}" name="Tarea Técnica / Descripción"/>
    <tableColumn id="5" xr3:uid="{00000000-0010-0000-0100-000005000000}" name="Rol Asignado"/>
    <tableColumn id="6" xr3:uid="{00000000-0010-0000-0100-000006000000}" name="Sprint"/>
    <tableColumn id="7" xr3:uid="{00000000-0010-0000-0100-000007000000}" name="Est. (HH)"/>
    <tableColumn id="8" xr3:uid="{00000000-0010-0000-0100-000008000000}" name="Estado"/>
  </tableColumns>
  <tableStyleInfo name="Tareas técnicas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B1:I17"/>
  <sheetViews>
    <sheetView workbookViewId="0">
      <selection activeCell="E5" sqref="E5"/>
    </sheetView>
  </sheetViews>
  <sheetFormatPr baseColWidth="10" defaultColWidth="12.5703125" defaultRowHeight="15.75" customHeight="1" x14ac:dyDescent="0.2"/>
  <cols>
    <col min="2" max="2" width="16" customWidth="1"/>
    <col min="3" max="3" width="21" customWidth="1"/>
    <col min="4" max="4" width="20.85546875" customWidth="1"/>
    <col min="5" max="5" width="55.42578125" customWidth="1"/>
    <col min="6" max="6" width="23.7109375" customWidth="1"/>
    <col min="8" max="8" width="17.42578125" customWidth="1"/>
    <col min="9" max="9" width="20.42578125" customWidth="1"/>
  </cols>
  <sheetData>
    <row r="1" spans="2:9" ht="26.25" x14ac:dyDescent="0.35">
      <c r="B1" s="1"/>
      <c r="C1" s="1" t="s">
        <v>1</v>
      </c>
    </row>
    <row r="3" spans="2:9" ht="12.75" x14ac:dyDescent="0.2">
      <c r="B3" s="9" t="s">
        <v>2</v>
      </c>
      <c r="C3" s="9" t="s">
        <v>4</v>
      </c>
      <c r="D3" s="10" t="s">
        <v>6</v>
      </c>
      <c r="E3" s="10" t="s">
        <v>9</v>
      </c>
      <c r="F3" s="9" t="s">
        <v>10</v>
      </c>
      <c r="G3" s="9" t="s">
        <v>12</v>
      </c>
      <c r="H3" s="9" t="s">
        <v>14</v>
      </c>
      <c r="I3" s="9" t="s">
        <v>15</v>
      </c>
    </row>
    <row r="4" spans="2:9" ht="25.5" x14ac:dyDescent="0.2">
      <c r="B4" s="2" t="s">
        <v>16</v>
      </c>
      <c r="C4" s="2" t="s">
        <v>18</v>
      </c>
      <c r="D4" s="4" t="s">
        <v>19</v>
      </c>
      <c r="E4" s="4" t="s">
        <v>20</v>
      </c>
      <c r="F4" s="4" t="s">
        <v>22</v>
      </c>
      <c r="G4" s="2" t="s">
        <v>24</v>
      </c>
      <c r="H4" s="2">
        <v>3</v>
      </c>
      <c r="I4" s="2" t="s">
        <v>26</v>
      </c>
    </row>
    <row r="5" spans="2:9" ht="25.5" x14ac:dyDescent="0.2">
      <c r="B5" s="2" t="s">
        <v>27</v>
      </c>
      <c r="C5" s="2" t="s">
        <v>28</v>
      </c>
      <c r="D5" s="4" t="s">
        <v>19</v>
      </c>
      <c r="E5" s="4" t="s">
        <v>29</v>
      </c>
      <c r="F5" s="4" t="s">
        <v>22</v>
      </c>
      <c r="G5" s="2" t="s">
        <v>24</v>
      </c>
      <c r="H5" s="2">
        <v>5</v>
      </c>
      <c r="I5" s="2" t="s">
        <v>26</v>
      </c>
    </row>
    <row r="6" spans="2:9" ht="25.5" x14ac:dyDescent="0.2">
      <c r="B6" s="2" t="s">
        <v>32</v>
      </c>
      <c r="C6" s="2" t="s">
        <v>34</v>
      </c>
      <c r="D6" s="4" t="s">
        <v>19</v>
      </c>
      <c r="E6" s="4" t="s">
        <v>35</v>
      </c>
      <c r="F6" s="4" t="s">
        <v>22</v>
      </c>
      <c r="G6" s="2" t="s">
        <v>24</v>
      </c>
      <c r="H6" s="2">
        <v>5</v>
      </c>
      <c r="I6" s="2" t="s">
        <v>26</v>
      </c>
    </row>
    <row r="7" spans="2:9" ht="25.5" x14ac:dyDescent="0.2">
      <c r="B7" s="2" t="s">
        <v>37</v>
      </c>
      <c r="C7" s="2" t="s">
        <v>38</v>
      </c>
      <c r="D7" s="4" t="s">
        <v>39</v>
      </c>
      <c r="E7" s="4" t="s">
        <v>40</v>
      </c>
      <c r="F7" s="4" t="s">
        <v>42</v>
      </c>
      <c r="G7" s="2" t="s">
        <v>24</v>
      </c>
      <c r="H7" s="2">
        <v>5</v>
      </c>
      <c r="I7" s="2" t="s">
        <v>26</v>
      </c>
    </row>
    <row r="8" spans="2:9" ht="25.5" x14ac:dyDescent="0.2">
      <c r="B8" s="2" t="s">
        <v>44</v>
      </c>
      <c r="C8" s="2" t="s">
        <v>45</v>
      </c>
      <c r="D8" s="4" t="s">
        <v>39</v>
      </c>
      <c r="E8" s="4" t="s">
        <v>46</v>
      </c>
      <c r="F8" s="4" t="s">
        <v>42</v>
      </c>
      <c r="G8" s="2" t="s">
        <v>24</v>
      </c>
      <c r="H8" s="2">
        <v>5</v>
      </c>
      <c r="I8" s="2" t="s">
        <v>26</v>
      </c>
    </row>
    <row r="9" spans="2:9" ht="25.5" x14ac:dyDescent="0.2">
      <c r="B9" s="2" t="s">
        <v>49</v>
      </c>
      <c r="C9" s="2" t="s">
        <v>51</v>
      </c>
      <c r="D9" s="4" t="s">
        <v>39</v>
      </c>
      <c r="E9" s="4" t="s">
        <v>52</v>
      </c>
      <c r="F9" s="4" t="s">
        <v>42</v>
      </c>
      <c r="G9" s="2" t="s">
        <v>24</v>
      </c>
      <c r="H9" s="2">
        <v>5</v>
      </c>
      <c r="I9" s="2" t="s">
        <v>26</v>
      </c>
    </row>
    <row r="10" spans="2:9" ht="25.5" x14ac:dyDescent="0.2">
      <c r="B10" s="2" t="s">
        <v>54</v>
      </c>
      <c r="C10" s="2" t="s">
        <v>55</v>
      </c>
      <c r="D10" s="4" t="s">
        <v>39</v>
      </c>
      <c r="E10" s="4" t="s">
        <v>57</v>
      </c>
      <c r="F10" s="4" t="s">
        <v>58</v>
      </c>
      <c r="G10" s="2" t="s">
        <v>24</v>
      </c>
      <c r="H10" s="2">
        <v>3</v>
      </c>
      <c r="I10" s="2" t="s">
        <v>26</v>
      </c>
    </row>
    <row r="11" spans="2:9" ht="25.5" x14ac:dyDescent="0.2">
      <c r="B11" s="2" t="s">
        <v>60</v>
      </c>
      <c r="C11" s="2" t="s">
        <v>61</v>
      </c>
      <c r="D11" s="4" t="s">
        <v>63</v>
      </c>
      <c r="E11" s="4" t="s">
        <v>64</v>
      </c>
      <c r="F11" s="4" t="s">
        <v>42</v>
      </c>
      <c r="G11" s="2" t="s">
        <v>65</v>
      </c>
      <c r="H11" s="2">
        <v>5</v>
      </c>
      <c r="I11" s="2" t="s">
        <v>66</v>
      </c>
    </row>
    <row r="12" spans="2:9" ht="25.5" x14ac:dyDescent="0.2">
      <c r="B12" s="2" t="s">
        <v>68</v>
      </c>
      <c r="C12" s="2" t="s">
        <v>70</v>
      </c>
      <c r="D12" s="4" t="s">
        <v>19</v>
      </c>
      <c r="E12" s="4" t="s">
        <v>71</v>
      </c>
      <c r="F12" s="4" t="s">
        <v>58</v>
      </c>
      <c r="G12" s="2" t="s">
        <v>72</v>
      </c>
      <c r="H12" s="2">
        <v>3</v>
      </c>
      <c r="I12" s="2" t="s">
        <v>26</v>
      </c>
    </row>
    <row r="13" spans="2:9" ht="25.5" x14ac:dyDescent="0.2">
      <c r="B13" s="2" t="s">
        <v>73</v>
      </c>
      <c r="C13" s="2" t="s">
        <v>75</v>
      </c>
      <c r="D13" s="4" t="s">
        <v>19</v>
      </c>
      <c r="E13" s="4" t="s">
        <v>77</v>
      </c>
      <c r="F13" s="4" t="s">
        <v>58</v>
      </c>
      <c r="G13" s="2" t="s">
        <v>72</v>
      </c>
      <c r="H13" s="2">
        <v>3</v>
      </c>
      <c r="I13" s="2" t="s">
        <v>26</v>
      </c>
    </row>
    <row r="14" spans="2:9" ht="25.5" x14ac:dyDescent="0.2">
      <c r="B14" s="2" t="s">
        <v>79</v>
      </c>
      <c r="C14" s="2" t="s">
        <v>80</v>
      </c>
      <c r="D14" s="4" t="s">
        <v>19</v>
      </c>
      <c r="E14" s="4" t="s">
        <v>82</v>
      </c>
      <c r="F14" s="4" t="s">
        <v>58</v>
      </c>
      <c r="G14" s="2" t="s">
        <v>72</v>
      </c>
      <c r="H14" s="2">
        <v>3</v>
      </c>
      <c r="I14" s="2" t="s">
        <v>84</v>
      </c>
    </row>
    <row r="15" spans="2:9" ht="25.5" x14ac:dyDescent="0.2">
      <c r="B15" s="2" t="s">
        <v>85</v>
      </c>
      <c r="C15" s="2" t="s">
        <v>86</v>
      </c>
      <c r="D15" s="4" t="s">
        <v>88</v>
      </c>
      <c r="E15" s="4" t="s">
        <v>89</v>
      </c>
      <c r="F15" s="4" t="s">
        <v>90</v>
      </c>
      <c r="G15" s="2" t="s">
        <v>72</v>
      </c>
      <c r="H15" s="2">
        <v>5</v>
      </c>
      <c r="I15" s="2" t="s">
        <v>26</v>
      </c>
    </row>
    <row r="16" spans="2:9" ht="25.5" x14ac:dyDescent="0.2">
      <c r="B16" s="2" t="s">
        <v>92</v>
      </c>
      <c r="C16" s="2" t="s">
        <v>93</v>
      </c>
      <c r="D16" s="4" t="s">
        <v>88</v>
      </c>
      <c r="E16" s="4" t="s">
        <v>95</v>
      </c>
      <c r="F16" s="4" t="s">
        <v>90</v>
      </c>
      <c r="G16" s="2" t="s">
        <v>72</v>
      </c>
      <c r="H16" s="2">
        <v>3</v>
      </c>
      <c r="I16" s="2" t="s">
        <v>84</v>
      </c>
    </row>
    <row r="17" spans="2:9" ht="25.5" x14ac:dyDescent="0.2">
      <c r="B17" s="2" t="s">
        <v>98</v>
      </c>
      <c r="C17" s="2" t="s">
        <v>100</v>
      </c>
      <c r="D17" s="4" t="s">
        <v>88</v>
      </c>
      <c r="E17" s="4" t="s">
        <v>101</v>
      </c>
      <c r="F17" s="4" t="s">
        <v>90</v>
      </c>
      <c r="G17" s="2" t="s">
        <v>65</v>
      </c>
      <c r="H17" s="2">
        <v>3</v>
      </c>
      <c r="I17" s="2" t="s">
        <v>84</v>
      </c>
    </row>
  </sheetData>
  <dataValidations count="2">
    <dataValidation type="list" allowBlank="1" sqref="I4:I17" xr:uid="{00000000-0002-0000-0000-000000000000}">
      <formula1>"Pendiente,En proceso,En validación,Terminado"</formula1>
    </dataValidation>
    <dataValidation type="list" allowBlank="1" sqref="G4:G17" xr:uid="{00000000-0002-0000-0000-000001000000}">
      <formula1>"Alta,Media,Baja"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B3:I33"/>
  <sheetViews>
    <sheetView tabSelected="1" workbookViewId="0">
      <selection activeCell="B3" sqref="B3:I3"/>
    </sheetView>
  </sheetViews>
  <sheetFormatPr baseColWidth="10" defaultColWidth="12.5703125" defaultRowHeight="15.75" customHeight="1" x14ac:dyDescent="0.2"/>
  <cols>
    <col min="3" max="3" width="13.42578125" customWidth="1"/>
    <col min="5" max="5" width="37.5703125" customWidth="1"/>
    <col min="6" max="6" width="16.28515625" customWidth="1"/>
    <col min="7" max="7" width="13.28515625" customWidth="1"/>
    <col min="8" max="8" width="15.28515625" customWidth="1"/>
    <col min="9" max="9" width="14" customWidth="1"/>
  </cols>
  <sheetData>
    <row r="3" spans="2:9" ht="15" x14ac:dyDescent="0.2">
      <c r="B3" s="11" t="s">
        <v>0</v>
      </c>
      <c r="C3" s="11" t="s">
        <v>3</v>
      </c>
      <c r="D3" s="11" t="s">
        <v>5</v>
      </c>
      <c r="E3" s="11" t="s">
        <v>7</v>
      </c>
      <c r="F3" s="11" t="s">
        <v>8</v>
      </c>
      <c r="G3" s="11" t="s">
        <v>11</v>
      </c>
      <c r="H3" s="11" t="s">
        <v>13</v>
      </c>
      <c r="I3" s="11" t="s">
        <v>15</v>
      </c>
    </row>
    <row r="4" spans="2:9" ht="45" x14ac:dyDescent="0.2">
      <c r="B4" s="3" t="s">
        <v>17</v>
      </c>
      <c r="C4" s="3" t="s">
        <v>16</v>
      </c>
      <c r="D4" s="3" t="s">
        <v>18</v>
      </c>
      <c r="E4" s="3" t="s">
        <v>21</v>
      </c>
      <c r="F4" s="3" t="s">
        <v>23</v>
      </c>
      <c r="G4" s="3" t="s">
        <v>25</v>
      </c>
      <c r="H4" s="3">
        <v>8</v>
      </c>
      <c r="I4" s="3" t="s">
        <v>26</v>
      </c>
    </row>
    <row r="5" spans="2:9" ht="45" x14ac:dyDescent="0.2">
      <c r="B5" s="3" t="s">
        <v>30</v>
      </c>
      <c r="C5" s="3" t="s">
        <v>16</v>
      </c>
      <c r="D5" s="3" t="s">
        <v>18</v>
      </c>
      <c r="E5" s="3" t="s">
        <v>31</v>
      </c>
      <c r="F5" s="3" t="s">
        <v>33</v>
      </c>
      <c r="G5" s="3" t="s">
        <v>25</v>
      </c>
      <c r="H5" s="3">
        <v>4</v>
      </c>
      <c r="I5" s="3" t="s">
        <v>26</v>
      </c>
    </row>
    <row r="6" spans="2:9" ht="45" x14ac:dyDescent="0.2">
      <c r="B6" s="3" t="s">
        <v>36</v>
      </c>
      <c r="C6" s="3" t="s">
        <v>27</v>
      </c>
      <c r="D6" s="8" t="s">
        <v>28</v>
      </c>
      <c r="E6" s="3" t="s">
        <v>41</v>
      </c>
      <c r="F6" s="3" t="s">
        <v>43</v>
      </c>
      <c r="G6" s="3" t="s">
        <v>25</v>
      </c>
      <c r="H6" s="3">
        <v>12</v>
      </c>
      <c r="I6" s="3" t="s">
        <v>26</v>
      </c>
    </row>
    <row r="7" spans="2:9" ht="45" x14ac:dyDescent="0.2">
      <c r="B7" s="3" t="s">
        <v>47</v>
      </c>
      <c r="C7" s="3" t="s">
        <v>27</v>
      </c>
      <c r="D7" s="3" t="s">
        <v>28</v>
      </c>
      <c r="E7" s="3" t="s">
        <v>48</v>
      </c>
      <c r="F7" s="3" t="s">
        <v>50</v>
      </c>
      <c r="G7" s="3" t="s">
        <v>25</v>
      </c>
      <c r="H7" s="3">
        <v>6</v>
      </c>
      <c r="I7" s="3" t="s">
        <v>26</v>
      </c>
    </row>
    <row r="8" spans="2:9" ht="45" x14ac:dyDescent="0.2">
      <c r="B8" s="3" t="s">
        <v>53</v>
      </c>
      <c r="C8" s="3" t="s">
        <v>32</v>
      </c>
      <c r="D8" s="3" t="s">
        <v>34</v>
      </c>
      <c r="E8" s="3" t="s">
        <v>56</v>
      </c>
      <c r="F8" s="3" t="s">
        <v>43</v>
      </c>
      <c r="G8" s="3" t="s">
        <v>25</v>
      </c>
      <c r="H8" s="3">
        <v>10</v>
      </c>
      <c r="I8" s="3" t="s">
        <v>26</v>
      </c>
    </row>
    <row r="9" spans="2:9" ht="45" x14ac:dyDescent="0.2">
      <c r="B9" s="3" t="s">
        <v>59</v>
      </c>
      <c r="C9" s="3" t="s">
        <v>32</v>
      </c>
      <c r="D9" s="3" t="s">
        <v>34</v>
      </c>
      <c r="E9" s="3" t="s">
        <v>62</v>
      </c>
      <c r="F9" s="3" t="s">
        <v>50</v>
      </c>
      <c r="G9" s="3" t="s">
        <v>25</v>
      </c>
      <c r="H9" s="3">
        <v>6</v>
      </c>
      <c r="I9" s="3" t="s">
        <v>26</v>
      </c>
    </row>
    <row r="10" spans="2:9" ht="45" x14ac:dyDescent="0.2">
      <c r="B10" s="3" t="s">
        <v>67</v>
      </c>
      <c r="C10" s="3" t="s">
        <v>37</v>
      </c>
      <c r="D10" s="3" t="s">
        <v>38</v>
      </c>
      <c r="E10" s="3" t="s">
        <v>69</v>
      </c>
      <c r="F10" s="3" t="s">
        <v>43</v>
      </c>
      <c r="G10" s="3" t="s">
        <v>25</v>
      </c>
      <c r="H10" s="3">
        <v>12</v>
      </c>
      <c r="I10" s="3" t="s">
        <v>26</v>
      </c>
    </row>
    <row r="11" spans="2:9" ht="45" x14ac:dyDescent="0.2">
      <c r="B11" s="3" t="s">
        <v>74</v>
      </c>
      <c r="C11" s="3" t="s">
        <v>37</v>
      </c>
      <c r="D11" s="3" t="s">
        <v>38</v>
      </c>
      <c r="E11" s="3" t="s">
        <v>76</v>
      </c>
      <c r="F11" s="3" t="s">
        <v>43</v>
      </c>
      <c r="G11" s="3" t="s">
        <v>25</v>
      </c>
      <c r="H11" s="3">
        <v>14</v>
      </c>
      <c r="I11" s="3" t="s">
        <v>26</v>
      </c>
    </row>
    <row r="12" spans="2:9" ht="45" x14ac:dyDescent="0.2">
      <c r="B12" s="3" t="s">
        <v>78</v>
      </c>
      <c r="C12" s="3" t="s">
        <v>44</v>
      </c>
      <c r="D12" s="3" t="s">
        <v>45</v>
      </c>
      <c r="E12" s="3" t="s">
        <v>81</v>
      </c>
      <c r="F12" s="3" t="s">
        <v>43</v>
      </c>
      <c r="G12" s="3" t="s">
        <v>83</v>
      </c>
      <c r="H12" s="3">
        <v>10</v>
      </c>
      <c r="I12" s="3" t="s">
        <v>26</v>
      </c>
    </row>
    <row r="13" spans="2:9" ht="45" x14ac:dyDescent="0.2">
      <c r="B13" s="3" t="s">
        <v>87</v>
      </c>
      <c r="C13" s="3" t="s">
        <v>44</v>
      </c>
      <c r="D13" s="3" t="s">
        <v>45</v>
      </c>
      <c r="E13" s="3" t="s">
        <v>91</v>
      </c>
      <c r="F13" s="3" t="s">
        <v>43</v>
      </c>
      <c r="G13" s="3" t="s">
        <v>83</v>
      </c>
      <c r="H13" s="3">
        <v>8</v>
      </c>
      <c r="I13" s="3" t="s">
        <v>26</v>
      </c>
    </row>
    <row r="14" spans="2:9" ht="45" x14ac:dyDescent="0.2">
      <c r="B14" s="3" t="s">
        <v>94</v>
      </c>
      <c r="C14" s="3" t="s">
        <v>49</v>
      </c>
      <c r="D14" s="3" t="s">
        <v>51</v>
      </c>
      <c r="E14" s="3" t="s">
        <v>96</v>
      </c>
      <c r="F14" s="3" t="s">
        <v>97</v>
      </c>
      <c r="G14" s="3" t="s">
        <v>83</v>
      </c>
      <c r="H14" s="3">
        <v>6</v>
      </c>
      <c r="I14" s="3" t="s">
        <v>26</v>
      </c>
    </row>
    <row r="15" spans="2:9" ht="45" x14ac:dyDescent="0.2">
      <c r="B15" s="3" t="s">
        <v>99</v>
      </c>
      <c r="C15" s="3" t="s">
        <v>49</v>
      </c>
      <c r="D15" s="3" t="s">
        <v>51</v>
      </c>
      <c r="E15" s="3" t="s">
        <v>102</v>
      </c>
      <c r="F15" s="3" t="s">
        <v>97</v>
      </c>
      <c r="G15" s="3" t="s">
        <v>83</v>
      </c>
      <c r="H15" s="3">
        <v>14</v>
      </c>
      <c r="I15" s="3" t="s">
        <v>26</v>
      </c>
    </row>
    <row r="16" spans="2:9" ht="45" x14ac:dyDescent="0.2">
      <c r="B16" s="3" t="s">
        <v>103</v>
      </c>
      <c r="C16" s="3" t="s">
        <v>49</v>
      </c>
      <c r="D16" s="3" t="s">
        <v>51</v>
      </c>
      <c r="E16" s="3" t="s">
        <v>104</v>
      </c>
      <c r="F16" s="3" t="s">
        <v>97</v>
      </c>
      <c r="G16" s="3" t="s">
        <v>83</v>
      </c>
      <c r="H16" s="3">
        <v>6</v>
      </c>
      <c r="I16" s="3" t="s">
        <v>26</v>
      </c>
    </row>
    <row r="17" spans="2:9" ht="30" x14ac:dyDescent="0.2">
      <c r="B17" s="3" t="s">
        <v>105</v>
      </c>
      <c r="C17" s="3" t="s">
        <v>54</v>
      </c>
      <c r="D17" s="3" t="s">
        <v>55</v>
      </c>
      <c r="E17" s="3" t="s">
        <v>106</v>
      </c>
      <c r="F17" s="3" t="s">
        <v>23</v>
      </c>
      <c r="G17" s="3" t="s">
        <v>83</v>
      </c>
      <c r="H17" s="3">
        <v>6</v>
      </c>
      <c r="I17" s="3" t="s">
        <v>26</v>
      </c>
    </row>
    <row r="18" spans="2:9" ht="45" x14ac:dyDescent="0.2">
      <c r="B18" s="3" t="s">
        <v>107</v>
      </c>
      <c r="C18" s="3" t="s">
        <v>54</v>
      </c>
      <c r="D18" s="3" t="s">
        <v>55</v>
      </c>
      <c r="E18" s="3" t="s">
        <v>108</v>
      </c>
      <c r="F18" s="3" t="s">
        <v>23</v>
      </c>
      <c r="G18" s="3" t="s">
        <v>83</v>
      </c>
      <c r="H18" s="3">
        <v>4</v>
      </c>
      <c r="I18" s="3" t="s">
        <v>26</v>
      </c>
    </row>
    <row r="19" spans="2:9" ht="45" x14ac:dyDescent="0.2">
      <c r="B19" s="3" t="s">
        <v>109</v>
      </c>
      <c r="C19" s="3" t="s">
        <v>68</v>
      </c>
      <c r="D19" s="3" t="s">
        <v>70</v>
      </c>
      <c r="E19" s="3" t="s">
        <v>110</v>
      </c>
      <c r="F19" s="3" t="s">
        <v>23</v>
      </c>
      <c r="G19" s="3" t="s">
        <v>83</v>
      </c>
      <c r="H19" s="3">
        <v>4</v>
      </c>
      <c r="I19" s="3" t="s">
        <v>26</v>
      </c>
    </row>
    <row r="20" spans="2:9" ht="45" x14ac:dyDescent="0.2">
      <c r="B20" s="3" t="s">
        <v>111</v>
      </c>
      <c r="C20" s="3" t="s">
        <v>68</v>
      </c>
      <c r="D20" s="3" t="s">
        <v>70</v>
      </c>
      <c r="E20" s="3" t="s">
        <v>112</v>
      </c>
      <c r="F20" s="3" t="s">
        <v>43</v>
      </c>
      <c r="G20" s="3" t="s">
        <v>83</v>
      </c>
      <c r="H20" s="3">
        <v>4</v>
      </c>
      <c r="I20" s="3" t="s">
        <v>26</v>
      </c>
    </row>
    <row r="21" spans="2:9" ht="45" x14ac:dyDescent="0.2">
      <c r="B21" s="3" t="s">
        <v>113</v>
      </c>
      <c r="C21" s="3" t="s">
        <v>85</v>
      </c>
      <c r="D21" s="3" t="s">
        <v>86</v>
      </c>
      <c r="E21" s="3" t="s">
        <v>114</v>
      </c>
      <c r="F21" s="3" t="s">
        <v>115</v>
      </c>
      <c r="G21" s="3" t="s">
        <v>83</v>
      </c>
      <c r="H21" s="3">
        <v>6</v>
      </c>
      <c r="I21" s="3" t="s">
        <v>26</v>
      </c>
    </row>
    <row r="22" spans="2:9" ht="45" x14ac:dyDescent="0.2">
      <c r="B22" s="3" t="s">
        <v>116</v>
      </c>
      <c r="C22" s="3" t="s">
        <v>85</v>
      </c>
      <c r="D22" s="3" t="s">
        <v>86</v>
      </c>
      <c r="E22" s="3" t="s">
        <v>117</v>
      </c>
      <c r="F22" s="3" t="s">
        <v>115</v>
      </c>
      <c r="G22" s="3" t="s">
        <v>83</v>
      </c>
      <c r="H22" s="3">
        <v>10</v>
      </c>
      <c r="I22" s="3" t="s">
        <v>26</v>
      </c>
    </row>
    <row r="23" spans="2:9" ht="45" x14ac:dyDescent="0.2">
      <c r="B23" s="3" t="s">
        <v>118</v>
      </c>
      <c r="C23" s="3" t="s">
        <v>73</v>
      </c>
      <c r="D23" s="3" t="s">
        <v>75</v>
      </c>
      <c r="E23" s="3" t="s">
        <v>119</v>
      </c>
      <c r="F23" s="3" t="s">
        <v>120</v>
      </c>
      <c r="G23" s="3" t="s">
        <v>121</v>
      </c>
      <c r="H23" s="3">
        <v>6</v>
      </c>
      <c r="I23" s="3" t="s">
        <v>26</v>
      </c>
    </row>
    <row r="24" spans="2:9" ht="45" x14ac:dyDescent="0.2">
      <c r="B24" s="3" t="s">
        <v>122</v>
      </c>
      <c r="C24" s="3" t="s">
        <v>73</v>
      </c>
      <c r="D24" s="3" t="s">
        <v>75</v>
      </c>
      <c r="E24" s="3" t="s">
        <v>123</v>
      </c>
      <c r="F24" s="3" t="s">
        <v>97</v>
      </c>
      <c r="G24" s="3" t="s">
        <v>121</v>
      </c>
      <c r="H24" s="3">
        <v>4</v>
      </c>
      <c r="I24" s="3" t="s">
        <v>26</v>
      </c>
    </row>
    <row r="25" spans="2:9" ht="45" x14ac:dyDescent="0.2">
      <c r="B25" s="3" t="s">
        <v>124</v>
      </c>
      <c r="C25" s="3" t="s">
        <v>60</v>
      </c>
      <c r="D25" s="3" t="s">
        <v>61</v>
      </c>
      <c r="E25" s="3" t="s">
        <v>125</v>
      </c>
      <c r="F25" s="3" t="s">
        <v>126</v>
      </c>
      <c r="G25" s="3" t="s">
        <v>121</v>
      </c>
      <c r="H25" s="3">
        <v>12</v>
      </c>
      <c r="I25" s="3" t="s">
        <v>66</v>
      </c>
    </row>
    <row r="26" spans="2:9" ht="45" x14ac:dyDescent="0.2">
      <c r="B26" s="3" t="s">
        <v>127</v>
      </c>
      <c r="C26" s="3" t="s">
        <v>60</v>
      </c>
      <c r="D26" s="3" t="s">
        <v>61</v>
      </c>
      <c r="E26" s="3" t="s">
        <v>128</v>
      </c>
      <c r="F26" s="3" t="s">
        <v>126</v>
      </c>
      <c r="G26" s="3" t="s">
        <v>121</v>
      </c>
      <c r="H26" s="3">
        <v>8</v>
      </c>
      <c r="I26" s="3" t="s">
        <v>66</v>
      </c>
    </row>
    <row r="27" spans="2:9" ht="45" x14ac:dyDescent="0.2">
      <c r="B27" s="3" t="s">
        <v>129</v>
      </c>
      <c r="C27" s="3" t="s">
        <v>79</v>
      </c>
      <c r="D27" s="3" t="s">
        <v>80</v>
      </c>
      <c r="E27" s="3" t="s">
        <v>130</v>
      </c>
      <c r="F27" s="3" t="s">
        <v>23</v>
      </c>
      <c r="G27" s="3" t="s">
        <v>121</v>
      </c>
      <c r="H27" s="3">
        <v>8</v>
      </c>
      <c r="I27" s="3" t="s">
        <v>84</v>
      </c>
    </row>
    <row r="28" spans="2:9" ht="45" x14ac:dyDescent="0.2">
      <c r="B28" s="3" t="s">
        <v>131</v>
      </c>
      <c r="C28" s="3" t="s">
        <v>79</v>
      </c>
      <c r="D28" s="3" t="s">
        <v>80</v>
      </c>
      <c r="E28" s="3" t="s">
        <v>132</v>
      </c>
      <c r="F28" s="3" t="s">
        <v>133</v>
      </c>
      <c r="G28" s="3" t="s">
        <v>121</v>
      </c>
      <c r="H28" s="3">
        <v>6</v>
      </c>
      <c r="I28" s="3" t="s">
        <v>84</v>
      </c>
    </row>
    <row r="29" spans="2:9" ht="45" x14ac:dyDescent="0.2">
      <c r="B29" s="3" t="s">
        <v>134</v>
      </c>
      <c r="C29" s="3" t="s">
        <v>92</v>
      </c>
      <c r="D29" s="3" t="s">
        <v>93</v>
      </c>
      <c r="E29" s="3" t="s">
        <v>135</v>
      </c>
      <c r="F29" s="3" t="s">
        <v>115</v>
      </c>
      <c r="G29" s="3" t="s">
        <v>121</v>
      </c>
      <c r="H29" s="3">
        <v>6</v>
      </c>
      <c r="I29" s="3" t="s">
        <v>84</v>
      </c>
    </row>
    <row r="30" spans="2:9" ht="45" x14ac:dyDescent="0.2">
      <c r="B30" s="3" t="s">
        <v>136</v>
      </c>
      <c r="C30" s="3" t="s">
        <v>92</v>
      </c>
      <c r="D30" s="3" t="s">
        <v>93</v>
      </c>
      <c r="E30" s="3" t="s">
        <v>137</v>
      </c>
      <c r="F30" s="3" t="s">
        <v>138</v>
      </c>
      <c r="G30" s="3" t="s">
        <v>121</v>
      </c>
      <c r="H30" s="3">
        <v>4</v>
      </c>
      <c r="I30" s="3" t="s">
        <v>84</v>
      </c>
    </row>
    <row r="31" spans="2:9" ht="45" x14ac:dyDescent="0.2">
      <c r="B31" s="3" t="s">
        <v>139</v>
      </c>
      <c r="C31" s="3" t="s">
        <v>98</v>
      </c>
      <c r="D31" s="3" t="s">
        <v>100</v>
      </c>
      <c r="E31" s="3" t="s">
        <v>140</v>
      </c>
      <c r="F31" s="3" t="s">
        <v>115</v>
      </c>
      <c r="G31" s="3" t="s">
        <v>121</v>
      </c>
      <c r="H31" s="3">
        <v>8</v>
      </c>
      <c r="I31" s="3" t="s">
        <v>84</v>
      </c>
    </row>
    <row r="32" spans="2:9" ht="45" x14ac:dyDescent="0.2">
      <c r="B32" s="3" t="s">
        <v>141</v>
      </c>
      <c r="C32" s="3" t="s">
        <v>98</v>
      </c>
      <c r="D32" s="3" t="s">
        <v>100</v>
      </c>
      <c r="E32" s="3" t="s">
        <v>142</v>
      </c>
      <c r="F32" s="3" t="s">
        <v>115</v>
      </c>
      <c r="G32" s="3" t="s">
        <v>121</v>
      </c>
      <c r="H32" s="3">
        <v>4</v>
      </c>
      <c r="I32" s="3" t="s">
        <v>84</v>
      </c>
    </row>
    <row r="33" spans="2:9" ht="15" x14ac:dyDescent="0.2">
      <c r="B33" s="5"/>
      <c r="C33" s="6"/>
      <c r="D33" s="6"/>
      <c r="E33" s="6"/>
      <c r="F33" s="6"/>
      <c r="G33" s="5" t="s">
        <v>143</v>
      </c>
      <c r="H33" s="7">
        <f>SUM(H4:H32)</f>
        <v>216</v>
      </c>
      <c r="I33" s="6"/>
    </row>
  </sheetData>
  <dataValidations count="3">
    <dataValidation type="list" allowBlank="1" showDropDown="1" showErrorMessage="1" sqref="G4:G33" xr:uid="{00000000-0002-0000-0100-000000000000}">
      <formula1>"Sprint 1,Sprint 2,Sprint 3"</formula1>
    </dataValidation>
    <dataValidation type="custom" allowBlank="1" showDropDown="1" sqref="H4:H33" xr:uid="{00000000-0002-0000-0100-000001000000}">
      <formula1>AND(ISNUMBER(H4),(NOT(OR(NOT(ISERROR(DATEVALUE(H4))), AND(ISNUMBER(H4), LEFT(CELL("format", H4))="D")))))</formula1>
    </dataValidation>
    <dataValidation type="list" allowBlank="1" sqref="I4:I33" xr:uid="{00000000-0002-0000-0100-000002000000}">
      <formula1>"Terminado,En proceso,En validación,Pendiente"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Product backlog</vt:lpstr>
      <vt:lpstr>Tareas técnicas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JAIME ANDRES VERGARA CORONADO</cp:lastModifiedBy>
  <dcterms:modified xsi:type="dcterms:W3CDTF">2026-10-05T22:45:59Z</dcterms:modified>
</cp:coreProperties>
</file>